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ooja bhatt\OneDrive\Documents\"/>
    </mc:Choice>
  </mc:AlternateContent>
  <xr:revisionPtr revIDLastSave="0" documentId="13_ncr:1_{3ACD37EB-69E5-476E-A12E-FADFB95FDF53}"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SHEET DESIGN" sheetId="3" r:id="rId2"/>
    <sheet name="RAW DATA" sheetId="1" r:id="rId3"/>
  </sheets>
  <definedNames>
    <definedName name="_xlchart.v2.0" hidden="1">Sheet1!$L$4:$L$6</definedName>
    <definedName name="_xlchart.v2.1" hidden="1">Sheet1!$M$3</definedName>
    <definedName name="_xlchart.v2.2" hidden="1">Sheet1!$M$4:$M$6</definedName>
    <definedName name="_xlchart.v2.3" hidden="1">Sheet1!$L$4:$L$6</definedName>
    <definedName name="_xlchart.v2.4" hidden="1">Sheet1!$M$3</definedName>
    <definedName name="_xlchart.v2.5" hidden="1">Sheet1!$M$4:$M$6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L5" i="2"/>
  <c r="L6" i="2"/>
  <c r="L4" i="2"/>
  <c r="A7" i="2"/>
  <c r="M4" i="2"/>
  <c r="D7" i="2"/>
  <c r="C7" i="2"/>
  <c r="M5" i="2"/>
  <c r="B7" i="2"/>
  <c r="M6" i="2"/>
</calcChain>
</file>

<file path=xl/sharedStrings.xml><?xml version="1.0" encoding="utf-8"?>
<sst xmlns="http://schemas.openxmlformats.org/spreadsheetml/2006/main" count="59741" uniqueCount="1630">
  <si>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</si>
  <si>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</si>
  <si>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</si>
  <si>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</si>
  <si>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</si>
  <si>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</si>
  <si>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</si>
  <si>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</si>
  <si>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</si>
  <si>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</si>
  <si>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</si>
  <si>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</si>
  <si>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</si>
  <si>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</si>
  <si>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</si>
  <si>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</si>
  <si>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</si>
  <si>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</si>
  <si>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</si>
  <si>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</si>
  <si>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</si>
  <si>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</si>
  <si>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</si>
  <si>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</si>
  <si>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</si>
  <si>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</si>
  <si>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</si>
  <si>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</si>
  <si>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</si>
  <si>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</si>
  <si>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</si>
  <si>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</si>
  <si>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</si>
  <si>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</si>
  <si>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</si>
  <si>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</si>
  <si>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</si>
  <si>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</si>
  <si>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</si>
  <si>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</si>
  <si>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</si>
  <si>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</si>
  <si>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</si>
  <si>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</si>
  <si>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</si>
  <si>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</si>
  <si>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</si>
  <si>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</si>
  <si>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</si>
  <si>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</si>
  <si>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</si>
  <si>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</si>
  <si>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</si>
  <si>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</si>
  <si>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</si>
  <si>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</si>
  <si>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</si>
  <si>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</si>
  <si>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</si>
  <si>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</si>
  <si>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</si>
  <si>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</si>
  <si>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</si>
  <si>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</si>
  <si>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</si>
  <si>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</si>
  <si>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</si>
  <si>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</si>
  <si>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</si>
  <si>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</si>
  <si>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</si>
  <si>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</si>
  <si>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</si>
  <si>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</si>
  <si>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</si>
  <si>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</si>
  <si>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</si>
  <si>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</si>
  <si>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</si>
  <si>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</si>
  <si>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</si>
  <si>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</si>
  <si>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</si>
  <si>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</si>
  <si>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</si>
  <si>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</si>
  <si>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</si>
  <si>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</si>
  <si>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</si>
  <si>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</si>
  <si>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</si>
  <si>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</si>
  <si>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</si>
  <si>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</si>
  <si>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</si>
  <si>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</si>
  <si>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</si>
  <si>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</si>
  <si>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</si>
  <si>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</si>
  <si>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</si>
  <si>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</si>
  <si>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</si>
  <si>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</si>
  <si>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</si>
  <si>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</si>
  <si>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</si>
  <si>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</si>
  <si>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</si>
  <si>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</si>
  <si>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</si>
  <si>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</si>
  <si>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</si>
  <si>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</si>
  <si>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</si>
  <si>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</si>
  <si>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</si>
  <si>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</si>
  <si>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</si>
  <si>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</si>
  <si>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</si>
  <si>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</si>
  <si>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</si>
  <si>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</si>
  <si>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</si>
  <si>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</si>
  <si>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</si>
  <si>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</si>
  <si>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</si>
  <si>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</si>
  <si>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</si>
  <si>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</si>
  <si>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</si>
  <si>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</si>
  <si>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</si>
  <si>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</si>
  <si>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</si>
  <si>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</si>
  <si>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</si>
  <si>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</si>
  <si>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</si>
  <si>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</si>
  <si>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</si>
  <si>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</si>
  <si>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</si>
  <si>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</si>
  <si>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</si>
  <si>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</si>
  <si>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</si>
  <si>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</si>
  <si>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</si>
  <si>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</si>
  <si>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</si>
  <si>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</si>
  <si>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</si>
  <si>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</si>
  <si>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</si>
  <si>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</si>
  <si>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</si>
  <si>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</si>
  <si>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</si>
  <si>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</si>
  <si>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</si>
  <si>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</si>
  <si>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</si>
  <si>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</si>
  <si>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</si>
  <si>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</si>
  <si>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</si>
  <si>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</si>
  <si>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</si>
  <si>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</si>
  <si>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</si>
  <si>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</si>
  <si>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</si>
  <si>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</si>
  <si>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</si>
  <si>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</si>
  <si>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</si>
  <si>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</si>
  <si>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</si>
  <si>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</si>
  <si>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</si>
  <si>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</si>
  <si>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</si>
  <si>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</si>
  <si>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</si>
  <si>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</si>
  <si>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</si>
  <si>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</si>
  <si>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</si>
  <si>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</si>
  <si>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</si>
  <si>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</si>
  <si>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</si>
  <si>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</si>
  <si>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</si>
  <si>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</si>
  <si>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</si>
  <si>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</si>
  <si>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</si>
  <si>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</si>
  <si>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</si>
  <si>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</si>
  <si>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</si>
  <si>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</si>
  <si>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</si>
  <si>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</si>
  <si>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</si>
  <si>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</si>
  <si>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</si>
  <si>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</si>
  <si>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</si>
  <si>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</si>
  <si>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</si>
  <si>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</si>
  <si>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</si>
  <si>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</si>
  <si>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</si>
  <si>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</si>
  <si>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</si>
  <si>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</si>
  <si>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</si>
  <si>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</si>
  <si>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</si>
  <si>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</si>
  <si>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</si>
  <si>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</si>
  <si>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</si>
  <si>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</si>
  <si>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</si>
  <si>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</si>
  <si>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</si>
  <si>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</si>
  <si>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</si>
  <si>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</si>
  <si>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</si>
  <si>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</si>
  <si>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</si>
  <si>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</si>
  <si>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</si>
  <si>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</si>
  <si>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</si>
  <si>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</si>
  <si>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</si>
  <si>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</si>
  <si>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</si>
  <si>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</si>
  <si>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</si>
  <si>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</si>
  <si>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</si>
  <si>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</si>
  <si>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</si>
  <si>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</si>
  <si>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</si>
  <si>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</si>
  <si>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</si>
  <si>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</si>
  <si>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</si>
  <si>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</si>
  <si>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</si>
  <si>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</si>
  <si>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</si>
  <si>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</si>
  <si>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</si>
  <si>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</si>
  <si>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</si>
  <si>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</si>
  <si>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</si>
  <si>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</si>
  <si>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</si>
  <si>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</si>
  <si>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</si>
  <si>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</si>
  <si>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</si>
  <si>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</si>
  <si>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</si>
  <si>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</si>
  <si>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</si>
  <si>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</si>
  <si>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</si>
  <si>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</si>
  <si>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</si>
  <si>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</si>
  <si>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</si>
  <si>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</si>
  <si>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</si>
  <si>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</si>
  <si>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</si>
  <si>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</si>
  <si>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</si>
  <si>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</si>
  <si>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</si>
  <si>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</si>
  <si>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</si>
  <si>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</si>
  <si>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</si>
  <si>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</si>
  <si>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</si>
  <si>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</si>
  <si>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</si>
  <si>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</si>
  <si>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</si>
  <si>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</si>
  <si>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</si>
  <si>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</si>
  <si>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</si>
  <si>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</si>
  <si>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</si>
  <si>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</si>
  <si>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</si>
  <si>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</si>
  <si>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</si>
  <si>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</si>
  <si>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</si>
  <si>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</si>
  <si>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</si>
  <si>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</si>
  <si>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</si>
  <si>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</si>
  <si>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</si>
  <si>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</si>
  <si>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</si>
  <si>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</si>
  <si>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</si>
  <si>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</si>
  <si>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</si>
  <si>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</si>
  <si>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</si>
  <si>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</si>
  <si>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</si>
  <si>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</si>
  <si>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</si>
  <si>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</si>
  <si>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</si>
  <si>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</si>
  <si>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</si>
  <si>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</si>
  <si>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</si>
  <si>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</si>
  <si>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</si>
  <si>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</si>
  <si>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</si>
  <si>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</si>
  <si>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</si>
  <si>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</si>
  <si>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</si>
  <si>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</si>
  <si>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</si>
  <si>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</si>
  <si>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</si>
  <si>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</si>
  <si>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</si>
  <si>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</si>
  <si>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</si>
  <si>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</si>
  <si>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</si>
  <si>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</si>
  <si>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</si>
  <si>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</si>
  <si>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</si>
  <si>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</si>
  <si>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</si>
  <si>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</si>
  <si>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</si>
  <si>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</si>
  <si>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</si>
  <si>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</si>
  <si>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</si>
  <si>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</si>
  <si>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</si>
  <si>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</si>
  <si>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</si>
  <si>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</si>
  <si>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</si>
  <si>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</si>
  <si>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</si>
  <si>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</si>
  <si>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</si>
  <si>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</si>
  <si>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</si>
  <si>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</si>
  <si>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</si>
  <si>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</si>
  <si>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</si>
  <si>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</si>
  <si>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</si>
  <si>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</si>
  <si>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</si>
  <si>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</si>
  <si>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</si>
  <si>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</si>
  <si>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</si>
  <si>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</si>
  <si>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</si>
  <si>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</si>
  <si>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</si>
  <si>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</si>
  <si>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</si>
  <si>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</si>
  <si>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</si>
  <si>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</si>
  <si>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</si>
  <si>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</si>
  <si>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</si>
  <si>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</si>
  <si>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</si>
  <si>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</si>
  <si>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</si>
  <si>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</si>
  <si>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</si>
  <si>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</si>
  <si>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</si>
  <si>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</si>
  <si>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</si>
  <si>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</si>
  <si>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</si>
  <si>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</si>
  <si>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</si>
  <si>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</si>
  <si>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</si>
  <si>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</si>
  <si>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</si>
  <si>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</si>
  <si>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</si>
  <si>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</si>
  <si>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</si>
  <si>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</si>
  <si>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</si>
  <si>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</si>
  <si>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</si>
  <si>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</si>
  <si>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</si>
  <si>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</si>
  <si>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</si>
  <si>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</si>
  <si>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</si>
  <si>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</si>
  <si>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</si>
  <si>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</si>
  <si>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</si>
  <si>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</si>
  <si>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</si>
  <si>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</si>
  <si>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</si>
  <si>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</si>
  <si>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</si>
  <si>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</si>
  <si>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</si>
  <si>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</si>
  <si>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</si>
  <si>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</si>
  <si>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</si>
  <si>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</si>
  <si>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</si>
  <si>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</si>
  <si>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</si>
  <si>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</si>
  <si>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</si>
  <si>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</si>
  <si>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</si>
  <si>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</si>
  <si>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</si>
  <si>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</si>
  <si>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</si>
  <si>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</si>
  <si>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</si>
  <si>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</si>
  <si>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</si>
  <si>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</si>
  <si>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</si>
  <si>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</si>
  <si>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</si>
  <si>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</si>
  <si>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</si>
  <si>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</si>
  <si>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</si>
  <si>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</si>
  <si>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</si>
  <si>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</si>
  <si>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</si>
  <si>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</si>
  <si>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</si>
  <si>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</si>
  <si>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</si>
  <si>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</si>
  <si>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</si>
  <si>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</si>
  <si>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</si>
  <si>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</si>
  <si>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</si>
  <si>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</si>
  <si>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</si>
  <si>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</si>
  <si>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</si>
  <si>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</si>
  <si>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</si>
  <si>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</si>
  <si>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</si>
  <si>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</si>
  <si>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</si>
  <si>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</si>
  <si>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</si>
  <si>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</si>
  <si>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</si>
  <si>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</si>
  <si>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</si>
  <si>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</si>
  <si>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</si>
  <si>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</si>
  <si>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</si>
  <si>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</si>
  <si>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</si>
  <si>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</si>
  <si>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</si>
  <si>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</si>
  <si>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</si>
  <si>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</si>
  <si>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</si>
  <si>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</si>
  <si>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</si>
  <si>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</si>
  <si>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</si>
  <si>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</si>
  <si>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</si>
  <si>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</si>
  <si>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</si>
  <si>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</si>
  <si>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</si>
  <si>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</si>
  <si>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</si>
  <si>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</si>
  <si>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</si>
  <si>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</si>
  <si>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</si>
  <si>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</si>
  <si>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</si>
  <si>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</si>
  <si>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</si>
  <si>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</si>
  <si>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</si>
  <si>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</si>
  <si>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</si>
  <si>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</si>
  <si>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</si>
  <si>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</si>
  <si>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</si>
  <si>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</si>
  <si>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</si>
  <si>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</si>
  <si>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</si>
  <si>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</si>
  <si>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</si>
  <si>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</si>
  <si>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</si>
  <si>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</si>
  <si>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</si>
  <si>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</si>
  <si>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</si>
  <si>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</si>
  <si>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</si>
  <si>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</si>
  <si>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</si>
  <si>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</si>
  <si>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</si>
  <si>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</si>
  <si>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</si>
  <si>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</si>
  <si>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</si>
  <si>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</si>
  <si>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</si>
  <si>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</si>
  <si>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</si>
  <si>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</si>
  <si>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</si>
  <si>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</si>
  <si>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</si>
  <si>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</si>
  <si>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</si>
  <si>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</si>
  <si>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</si>
  <si>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</si>
  <si>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</si>
  <si>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</si>
  <si>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</si>
  <si>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</si>
  <si>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</si>
  <si>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</si>
  <si>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</si>
  <si>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</si>
  <si>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</si>
  <si>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</si>
  <si>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</si>
  <si>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</si>
  <si>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</si>
  <si>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</si>
  <si>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</si>
  <si>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</si>
  <si>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</si>
  <si>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</si>
  <si>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</si>
  <si>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</si>
  <si>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</si>
  <si>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</si>
  <si>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</si>
  <si>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</si>
  <si>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</si>
  <si>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</si>
  <si>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</si>
  <si>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</si>
  <si>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</si>
  <si>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</si>
  <si>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</si>
  <si>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</si>
  <si>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</si>
  <si>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</si>
  <si>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</si>
  <si>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</si>
  <si>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</si>
  <si>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</si>
  <si>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</si>
  <si>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</si>
  <si>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</si>
  <si>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</si>
  <si>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</si>
  <si>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</si>
  <si>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</si>
  <si>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</si>
  <si>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</si>
  <si>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</si>
  <si>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</si>
  <si>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</si>
  <si>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</si>
  <si>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</si>
  <si>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</si>
  <si>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</si>
  <si>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</si>
  <si>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</si>
  <si>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</si>
  <si>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</si>
  <si>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</si>
  <si>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</si>
  <si>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</si>
  <si>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</si>
  <si>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</si>
  <si>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</si>
  <si>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</si>
  <si>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</si>
  <si>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</si>
  <si>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</si>
  <si>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</si>
  <si>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</si>
  <si>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</si>
  <si>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</si>
  <si>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</si>
  <si>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</si>
  <si>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</si>
  <si>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</si>
  <si>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</si>
  <si>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</si>
  <si>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</si>
  <si>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</si>
  <si>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</si>
  <si>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</si>
  <si>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</si>
  <si>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</si>
  <si>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</si>
  <si>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</si>
  <si>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</si>
  <si>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</si>
  <si>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</si>
  <si>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</si>
  <si>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</si>
  <si>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</si>
  <si>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</si>
  <si>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</si>
  <si>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</si>
  <si>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</si>
  <si>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</si>
  <si>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</si>
  <si>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</si>
  <si>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</si>
  <si>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</si>
  <si>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</si>
  <si>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</si>
  <si>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</si>
  <si>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</si>
  <si>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</si>
  <si>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</si>
  <si>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</si>
  <si>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</si>
  <si>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</si>
  <si>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</si>
  <si>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</si>
  <si>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</si>
  <si>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</si>
  <si>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</si>
  <si>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</si>
  <si>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</si>
  <si>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</si>
  <si>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</si>
  <si>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</si>
  <si>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</si>
  <si>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</si>
  <si>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</si>
  <si>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</si>
  <si>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</si>
  <si>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</si>
  <si>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</si>
  <si>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</si>
  <si>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</si>
  <si>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</si>
  <si>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</si>
  <si>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</si>
  <si>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</si>
  <si>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</si>
  <si>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</si>
  <si>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</si>
  <si>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</si>
  <si>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</si>
  <si>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</si>
  <si>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</si>
  <si>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</si>
  <si>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</si>
  <si>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</si>
  <si>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</si>
  <si>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</si>
  <si>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</si>
  <si>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</si>
  <si>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</si>
  <si>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</si>
  <si>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</si>
  <si>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</si>
  <si>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</si>
  <si>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</si>
  <si>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</si>
  <si>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</si>
  <si>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</si>
  <si>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</si>
  <si>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</si>
  <si>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</si>
  <si>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</si>
  <si>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</si>
  <si>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</si>
  <si>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</si>
  <si>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</si>
  <si>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</si>
  <si>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</si>
  <si>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</si>
  <si>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</si>
  <si>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</si>
  <si>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</si>
  <si>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</si>
  <si>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</si>
  <si>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</si>
  <si>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</si>
  <si>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</si>
  <si>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</si>
  <si>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</si>
  <si>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</si>
  <si>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</si>
  <si>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</si>
  <si>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</si>
  <si>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</si>
  <si>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</si>
  <si>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</si>
  <si>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</si>
  <si>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</si>
  <si>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</si>
  <si>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</si>
  <si>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</si>
  <si>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</si>
  <si>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</si>
  <si>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</si>
  <si>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</si>
  <si>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</si>
  <si>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</si>
  <si>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</si>
  <si>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</si>
  <si>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</si>
  <si>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</si>
  <si>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</si>
  <si>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</si>
  <si>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</si>
  <si>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</si>
  <si>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</si>
  <si>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</si>
  <si>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</si>
  <si>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</si>
  <si>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</si>
  <si>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</si>
  <si>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</si>
  <si>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</si>
  <si>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</si>
  <si>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</si>
  <si>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</si>
  <si>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</si>
  <si>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</si>
  <si>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</si>
  <si>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</si>
  <si>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</si>
  <si>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</si>
  <si>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</si>
  <si>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</si>
  <si>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</si>
  <si>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</si>
  <si>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</si>
  <si>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</si>
  <si>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</si>
  <si>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</si>
  <si>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</si>
  <si>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</si>
  <si>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</si>
  <si>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</si>
  <si>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</si>
  <si>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</si>
  <si>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</si>
  <si>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</si>
  <si>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</si>
  <si>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</si>
  <si>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</si>
  <si>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</si>
  <si>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</si>
  <si>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</si>
  <si>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</si>
  <si>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</si>
  <si>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</si>
  <si>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</si>
  <si>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</si>
  <si>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</si>
  <si>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</si>
  <si>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</si>
  <si>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</si>
  <si>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</si>
  <si>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</si>
  <si>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</si>
  <si>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</si>
  <si>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</si>
  <si>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</si>
  <si>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</si>
  <si>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</si>
  <si>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</si>
  <si>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</si>
  <si>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</si>
  <si>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</si>
  <si>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</si>
  <si>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</si>
  <si>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</si>
  <si>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</si>
  <si>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</si>
  <si>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</si>
  <si>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</si>
  <si>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</si>
  <si>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</si>
  <si>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</si>
  <si>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</si>
  <si>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</si>
  <si>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</si>
  <si>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</si>
  <si>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</si>
  <si>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</si>
  <si>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</si>
  <si>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</si>
  <si>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</si>
  <si>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</si>
  <si>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</si>
  <si>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</si>
  <si>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</si>
  <si>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</si>
  <si>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</si>
  <si>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</si>
  <si>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</si>
  <si>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</si>
  <si>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</si>
  <si>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</si>
  <si>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</si>
  <si>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</si>
  <si>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</si>
  <si>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</si>
  <si>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</si>
  <si>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</si>
  <si>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</si>
  <si>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</si>
  <si>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</si>
  <si>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</si>
  <si>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</si>
  <si>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</si>
  <si>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</si>
  <si>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</si>
  <si>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</si>
  <si>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</si>
  <si>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</si>
  <si>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</si>
  <si>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</si>
  <si>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</si>
  <si>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</si>
  <si>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</si>
  <si>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</si>
  <si>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</si>
  <si>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</si>
  <si>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</si>
  <si>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</si>
  <si>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</si>
  <si>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</si>
  <si>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</si>
  <si>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</si>
  <si>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</si>
  <si>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</si>
  <si>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</si>
  <si>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</si>
  <si>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</si>
  <si>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</si>
  <si>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</si>
  <si>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</si>
  <si>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</si>
  <si>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</si>
  <si>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</si>
  <si>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</si>
  <si>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</si>
  <si>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</si>
  <si>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</si>
  <si>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</si>
  <si>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</si>
  <si>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</si>
  <si>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</si>
  <si>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</si>
  <si>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</si>
  <si>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</si>
  <si>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</si>
  <si>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</si>
  <si>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</si>
  <si>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</si>
  <si>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</si>
  <si>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</si>
  <si>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</si>
  <si>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</si>
  <si>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</si>
  <si>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</si>
  <si>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</si>
  <si>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</si>
  <si>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</si>
  <si>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</si>
  <si>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</si>
  <si>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</si>
  <si>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</si>
  <si>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</si>
  <si>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</si>
  <si>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</si>
  <si>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</si>
  <si>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</si>
  <si>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</si>
  <si>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</si>
  <si>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</si>
  <si>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</si>
  <si>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</si>
  <si>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</si>
  <si>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</si>
  <si>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</si>
  <si>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</si>
  <si>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</si>
  <si>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</si>
  <si>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</si>
  <si>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</si>
  <si>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</si>
  <si>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</si>
  <si>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</si>
  <si>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</si>
  <si>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</si>
  <si>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</si>
  <si>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</si>
  <si>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</si>
  <si>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</si>
  <si>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</si>
  <si>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</si>
  <si>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</si>
  <si>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</si>
  <si>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</si>
  <si>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</si>
  <si>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</si>
  <si>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</si>
  <si>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</si>
  <si>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</si>
  <si>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</si>
  <si>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</si>
  <si>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</si>
  <si>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</si>
  <si>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</si>
  <si>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</si>
  <si>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</si>
  <si>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</si>
  <si>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</si>
  <si>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</si>
  <si>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</si>
  <si>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</si>
  <si>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</si>
  <si>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</si>
  <si>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</si>
  <si>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</si>
  <si>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</si>
  <si>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</si>
  <si>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</si>
  <si>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</si>
  <si>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</si>
  <si>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</si>
  <si>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</si>
  <si>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</si>
  <si>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</si>
  <si>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</si>
  <si>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</si>
  <si>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</si>
  <si>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</si>
  <si>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</si>
  <si>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</si>
  <si>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</si>
  <si>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</si>
  <si>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</si>
  <si>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</si>
  <si>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</si>
  <si>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</si>
  <si>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</si>
  <si>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</si>
  <si>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</si>
  <si>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</si>
  <si>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</si>
  <si>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</si>
  <si>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</si>
  <si>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</si>
  <si>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</si>
  <si>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</si>
  <si>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</si>
  <si>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</si>
  <si>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</si>
  <si>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</si>
  <si>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</si>
  <si>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</si>
  <si>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</si>
  <si>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</si>
  <si>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</si>
  <si>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</si>
  <si>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</si>
  <si>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</si>
  <si>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</si>
  <si>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</si>
  <si>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</si>
  <si>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</si>
  <si>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</si>
  <si>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</si>
  <si>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</si>
  <si>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</si>
  <si>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</si>
  <si>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</si>
  <si>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</si>
  <si>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</si>
  <si>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</si>
  <si>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</si>
  <si>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</si>
  <si>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</si>
  <si>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</si>
  <si>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</si>
  <si>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</si>
  <si>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</si>
  <si>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</si>
  <si>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</si>
  <si>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</si>
  <si>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</si>
  <si>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</si>
  <si>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</si>
  <si>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</si>
  <si>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</si>
  <si>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</si>
  <si>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</si>
  <si>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</si>
  <si>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</si>
  <si>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</si>
  <si>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</si>
  <si>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</si>
  <si>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</si>
  <si>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</si>
  <si>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</si>
  <si>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</si>
  <si>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</si>
  <si>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</si>
  <si>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</si>
  <si>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</si>
  <si>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</si>
  <si>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</si>
  <si>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</si>
  <si>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</si>
  <si>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</si>
  <si>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</si>
  <si>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</si>
  <si>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</si>
  <si>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</si>
  <si>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</si>
  <si>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</si>
  <si>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</si>
  <si>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</si>
  <si>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</si>
  <si>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</si>
  <si>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</si>
  <si>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</si>
  <si>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</si>
  <si>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</si>
  <si>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</si>
  <si>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</si>
  <si>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</si>
  <si>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</si>
  <si>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</si>
  <si>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</si>
  <si>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</si>
  <si>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</si>
  <si>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</si>
  <si>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</si>
  <si>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</si>
  <si>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</si>
  <si>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</si>
  <si>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</si>
  <si>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</si>
  <si>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</si>
  <si>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</si>
  <si>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</si>
  <si>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</si>
  <si>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</si>
  <si>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</si>
  <si>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</si>
  <si>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</si>
  <si>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</si>
  <si>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</si>
  <si>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</si>
  <si>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</si>
  <si>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</si>
  <si>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</si>
  <si>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</si>
  <si>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</si>
  <si>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</si>
  <si>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</si>
  <si>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</si>
  <si>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</si>
  <si>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</si>
  <si>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</si>
  <si>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</si>
  <si>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</si>
  <si>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</si>
  <si>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</si>
  <si>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</si>
  <si>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</si>
  <si>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</si>
  <si>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</si>
  <si>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</si>
  <si>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</si>
  <si>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</si>
  <si>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</si>
  <si>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</si>
  <si>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</si>
  <si>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</si>
  <si>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</si>
  <si>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</si>
  <si>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</si>
  <si>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</si>
  <si>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</si>
  <si>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</si>
  <si>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</si>
  <si>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</si>
  <si>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</si>
  <si>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</si>
  <si>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</si>
  <si>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</si>
  <si>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</si>
  <si>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</si>
  <si>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</si>
  <si>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</si>
  <si>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</si>
  <si>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</si>
  <si>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</si>
  <si>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</si>
  <si>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</si>
  <si>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</si>
  <si>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</si>
  <si>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</si>
  <si>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</si>
  <si>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</si>
  <si>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</si>
  <si>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</si>
  <si>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</si>
  <si>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</si>
  <si>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</si>
  <si>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</si>
  <si>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</si>
  <si>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</si>
  <si>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</si>
  <si>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</si>
  <si>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</si>
  <si>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</si>
  <si>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</si>
  <si>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</si>
  <si>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</si>
  <si>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</si>
  <si>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</si>
  <si>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</si>
  <si>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</si>
  <si>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</si>
  <si>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</si>
  <si>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</si>
  <si>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</si>
  <si>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</si>
  <si>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</si>
  <si>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</si>
  <si>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</si>
  <si>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</si>
  <si>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</si>
  <si>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</si>
  <si>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</si>
  <si>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</si>
  <si>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</si>
  <si>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</si>
  <si>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</si>
  <si>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</si>
  <si>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</si>
  <si>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</si>
  <si>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</si>
  <si>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</si>
  <si>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</si>
  <si>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</si>
  <si>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</si>
  <si>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</si>
  <si>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</si>
  <si>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</si>
  <si>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</si>
  <si>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</si>
  <si>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</si>
  <si>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</si>
  <si>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</si>
  <si>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</si>
  <si>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</si>
  <si>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</si>
  <si>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</si>
  <si>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</si>
  <si>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</si>
  <si>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</si>
  <si>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</si>
  <si>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</si>
  <si>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</si>
  <si>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</si>
  <si>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</si>
  <si>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</si>
  <si>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</si>
  <si>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</si>
  <si>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</si>
  <si>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</si>
  <si>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</si>
  <si>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</si>
  <si>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</si>
  <si>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</si>
  <si>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</si>
  <si>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</si>
  <si>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</si>
  <si>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</si>
  <si>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</si>
  <si>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</si>
  <si>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</si>
  <si>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</si>
  <si>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</si>
  <si>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</si>
  <si>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</si>
  <si>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</si>
  <si>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</si>
  <si>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</si>
  <si>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</si>
  <si>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</si>
  <si>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</si>
  <si>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</si>
  <si>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</si>
  <si>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</si>
  <si>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</si>
  <si>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</si>
  <si>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</si>
  <si>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</si>
  <si>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</si>
  <si>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</si>
  <si>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</si>
  <si>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</si>
  <si>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</si>
  <si>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</si>
  <si>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</si>
  <si>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</si>
  <si>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</si>
  <si>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</si>
  <si>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</si>
  <si>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</si>
  <si>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</si>
  <si>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</si>
  <si>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</si>
  <si>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</si>
  <si>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</si>
  <si>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</si>
  <si>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</si>
  <si>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</si>
  <si>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</si>
  <si>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</si>
  <si>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</si>
  <si>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</si>
  <si>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</si>
  <si>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</si>
  <si>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</si>
  <si>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</si>
  <si>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</si>
  <si>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</si>
  <si>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</si>
  <si>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</si>
  <si>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</si>
  <si>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</si>
  <si>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</si>
  <si>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</si>
  <si>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</si>
  <si>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</si>
  <si>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</si>
  <si>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</si>
  <si>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</si>
  <si>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</si>
  <si>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</si>
  <si>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</si>
  <si>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</si>
  <si>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</si>
  <si>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</si>
  <si>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</si>
  <si>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</si>
  <si>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</si>
  <si>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</si>
  <si>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</si>
  <si>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</si>
  <si>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</si>
  <si>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</si>
  <si>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</si>
  <si>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</si>
  <si>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</si>
  <si>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</si>
  <si>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</si>
  <si>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</si>
  <si>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</si>
  <si>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</si>
  <si>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</si>
  <si>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</si>
  <si>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</si>
  <si>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</si>
  <si>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</si>
  <si>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</si>
  <si>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</si>
  <si>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</si>
  <si>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</si>
  <si>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</si>
  <si>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</si>
  <si>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</si>
  <si>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</si>
  <si>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</si>
  <si>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</si>
  <si>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</si>
  <si>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</si>
  <si>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</si>
  <si>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</si>
  <si>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</si>
  <si>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</si>
  <si>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</si>
  <si>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</si>
  <si>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</si>
  <si>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</si>
  <si>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</si>
  <si>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</si>
  <si>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</si>
  <si>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</si>
  <si>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</si>
  <si>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</si>
  <si>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</si>
  <si>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</si>
  <si>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</si>
  <si>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</si>
  <si>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</si>
  <si>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</si>
  <si>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</si>
  <si>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</si>
  <si>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</si>
  <si>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</si>
  <si>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</si>
  <si>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</si>
  <si>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</si>
  <si>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</si>
  <si>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</si>
  <si>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</si>
  <si>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</si>
  <si>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</si>
  <si>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</si>
  <si>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</si>
  <si>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</si>
  <si>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</si>
  <si>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</si>
  <si>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</si>
  <si>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</si>
  <si>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</si>
  <si>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</si>
  <si>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</si>
  <si>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</si>
  <si>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</si>
  <si>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</si>
  <si>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</si>
  <si>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</si>
  <si>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</si>
  <si>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</si>
  <si>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</si>
  <si>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</si>
  <si>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</si>
  <si>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</si>
  <si>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</si>
  <si>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</si>
  <si>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</si>
  <si>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</si>
  <si>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</si>
  <si>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</si>
  <si>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</si>
  <si>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</si>
  <si>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</si>
  <si>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</si>
  <si>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</si>
  <si>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</si>
  <si>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</si>
  <si>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</si>
  <si>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</si>
  <si>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</si>
  <si>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</si>
  <si>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</si>
  <si>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</si>
  <si>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</si>
  <si>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</si>
  <si>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</si>
  <si>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</si>
  <si>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</si>
  <si>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</si>
  <si>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</si>
  <si>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</si>
  <si>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</si>
  <si>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</si>
  <si>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</si>
  <si>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</si>
  <si>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</si>
  <si>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</si>
  <si>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</si>
  <si>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</si>
  <si>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</si>
  <si>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</si>
  <si>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</si>
  <si>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</si>
  <si>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</si>
  <si>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</si>
  <si>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</si>
  <si>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</si>
  <si>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</si>
  <si>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</si>
  <si>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</si>
  <si>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</si>
  <si>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</si>
  <si>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</si>
  <si>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</si>
  <si>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</si>
  <si>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</si>
  <si>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</si>
  <si>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</si>
  <si>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</si>
  <si>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</si>
  <si>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</si>
  <si>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</si>
  <si>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</si>
  <si>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</si>
  <si>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</si>
  <si>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</si>
  <si>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</si>
  <si>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</si>
  <si>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</si>
  <si>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</si>
  <si>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</si>
  <si>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</si>
  <si>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</si>
  <si>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</si>
  <si>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</si>
  <si>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</si>
  <si>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</si>
  <si>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</si>
  <si>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</si>
  <si>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</si>
  <si>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</si>
  <si>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</si>
  <si>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</si>
  <si>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</si>
  <si>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</si>
  <si>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</si>
  <si>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</si>
  <si>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</si>
  <si>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</si>
  <si>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</si>
  <si>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</si>
  <si>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</si>
  <si>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</si>
  <si>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</si>
  <si>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</si>
  <si>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</si>
  <si>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</si>
  <si>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</si>
  <si>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</si>
  <si>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</si>
  <si>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</si>
  <si>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</si>
  <si>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</si>
  <si>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</si>
  <si>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</si>
  <si>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</si>
  <si>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</si>
  <si>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</si>
  <si>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</si>
  <si>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</si>
  <si>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</si>
  <si>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</si>
  <si>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</si>
  <si>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</si>
  <si>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</si>
  <si>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</si>
  <si>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</si>
  <si>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</si>
  <si>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</si>
  <si>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</si>
  <si>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</si>
  <si>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</si>
  <si>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</si>
  <si>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</si>
  <si>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</si>
  <si>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</si>
  <si>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</si>
  <si>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</si>
  <si>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</si>
  <si>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</si>
  <si>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</si>
  <si>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</si>
  <si>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</si>
  <si>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</si>
  <si>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</si>
  <si>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</si>
  <si>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</si>
  <si>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</si>
  <si>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</si>
  <si>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</si>
  <si>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</si>
  <si>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</si>
  <si>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</si>
  <si>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</si>
  <si>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</si>
  <si>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</si>
  <si>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</si>
  <si>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</si>
  <si>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</si>
  <si>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</si>
  <si>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</si>
  <si>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</si>
  <si>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</si>
  <si>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</si>
  <si>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</si>
  <si>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</si>
  <si>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</si>
  <si>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</si>
  <si>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</si>
  <si>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</si>
  <si>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</si>
  <si>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</si>
  <si>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</si>
  <si>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</si>
  <si>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</si>
  <si>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</si>
  <si>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</si>
  <si>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</si>
  <si>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</si>
  <si>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</si>
  <si>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</si>
  <si>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</si>
  <si>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</si>
  <si>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</si>
  <si>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</si>
  <si>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</si>
  <si>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</si>
  <si>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</si>
  <si>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</si>
  <si>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</si>
  <si>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</si>
  <si>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</si>
  <si>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</si>
  <si>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</si>
  <si>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</si>
  <si>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</si>
  <si>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</si>
  <si>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</si>
  <si>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</si>
  <si>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</si>
  <si>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</si>
  <si>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</si>
  <si>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</si>
  <si>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</si>
  <si>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</si>
  <si>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</si>
  <si>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</si>
  <si>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</si>
  <si>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</si>
  <si>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</si>
  <si>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</si>
  <si>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</si>
  <si>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</si>
  <si>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</si>
  <si>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</si>
  <si>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S.NO</t>
  </si>
  <si>
    <t>Average of Rating</t>
  </si>
  <si>
    <t>Average of Sales</t>
  </si>
  <si>
    <t>total sales</t>
  </si>
  <si>
    <t>avg sales</t>
  </si>
  <si>
    <t>avg rating</t>
  </si>
  <si>
    <t>KPI's REQUIRMENTS</t>
  </si>
  <si>
    <t>TOTAL SALES BY FAT CONTENT</t>
  </si>
  <si>
    <t>TOTAL SALES BY ITEM TYPE</t>
  </si>
  <si>
    <t>FAT CONETENT BY OUTLET TO TOTAL SALES</t>
  </si>
  <si>
    <t>TOTAL SALES BY ESTABLISHMENT</t>
  </si>
  <si>
    <t>Sum of Sales2</t>
  </si>
  <si>
    <t>TOTAL SALES BY OUTLET SIZE</t>
  </si>
  <si>
    <t>TOTAL SALES BY OUTLET LOCATION</t>
  </si>
  <si>
    <t>OUTLET LOCATION</t>
  </si>
  <si>
    <t>Sum of S.NO</t>
  </si>
  <si>
    <t>Count of Item Type</t>
  </si>
  <si>
    <t>ALL MATRIX BY BY OUTLET TYPE</t>
  </si>
  <si>
    <t>Count of S.NO2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</si>
</sst>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0.00,&quot;K&quot;"/>
    <numFmt numFmtId="167" formatCode="\$0.0,&quot;K&quot;"/>
    <numFmt numFmtId="168" formatCode="\$0"/>
    <numFmt numFmtId="169" formatCode="\$0.0,,&quot;M&quot;"/>
    <numFmt numFmtId="170" formatCode="&quot;$&quot;0.0,,&quot;M&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164" fontId="0" fillId="0" borderId="16" xfId="0" applyNumberFormat="1" applyBorder="1"/>
    <xf numFmtId="165" fontId="0" fillId="0" borderId="16" xfId="0" applyNumberFormat="1" applyBorder="1"/>
    <xf numFmtId="0" fontId="0" fillId="0" borderId="10" xfId="0" applyBorder="1"/>
    <xf numFmtId="0" fontId="0" fillId="0" borderId="11" xfId="0" applyBorder="1"/>
    <xf numFmtId="0" fontId="0" fillId="0" borderId="12" xfId="0" applyBorder="1"/>
    <xf numFmtId="0" fontId="0" fillId="0" borderId="13" xfId="0" applyBorder="1" applyAlignment="1">
      <alignment horizontal="left"/>
    </xf>
    <xf numFmtId="0" fontId="0" fillId="0" borderId="15" xfId="0" applyBorder="1" applyAlignment="1">
      <alignment horizontal="left"/>
    </xf>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15" xfId="0" applyBorder="1"/>
    <xf numFmtId="0" fontId="0" fillId="0" borderId="16" xfId="0" applyBorder="1"/>
    <xf numFmtId="0" fontId="0" fillId="0" borderId="21" xfId="0" applyBorder="1"/>
    <xf numFmtId="166" fontId="0" fillId="0" borderId="22" xfId="0" applyNumberFormat="1" applyBorder="1"/>
    <xf numFmtId="166" fontId="0" fillId="0" borderId="23" xfId="0" applyNumberFormat="1" applyBorder="1"/>
    <xf numFmtId="166" fontId="0" fillId="0" borderId="14" xfId="0" applyNumberFormat="1" applyBorder="1"/>
    <xf numFmtId="166" fontId="0" fillId="0" borderId="17" xfId="0" applyNumberFormat="1" applyBorder="1"/>
    <xf numFmtId="166" fontId="0" fillId="0" borderId="10" xfId="0" applyNumberFormat="1" applyBorder="1"/>
    <xf numFmtId="166" fontId="0" fillId="0" borderId="12" xfId="0" applyNumberFormat="1" applyBorder="1"/>
    <xf numFmtId="166" fontId="0" fillId="0" borderId="13" xfId="0" applyNumberFormat="1" applyBorder="1"/>
    <xf numFmtId="166" fontId="0" fillId="0" borderId="15" xfId="0" applyNumberFormat="1" applyBorder="1"/>
    <xf numFmtId="0" fontId="16" fillId="33" borderId="11" xfId="0" applyFont="1" applyFill="1"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0" fillId="0" borderId="21" xfId="0" pivotButton="1" applyBorder="1"/>
    <xf numFmtId="0" fontId="16" fillId="33" borderId="12" xfId="0" applyFont="1" applyFill="1" applyBorder="1" applyAlignment="1">
      <alignment horizontal="center"/>
    </xf>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14" xfId="0" applyNumberFormat="1" applyBorder="1"/>
    <xf numFmtId="167" fontId="0" fillId="0" borderId="17" xfId="0" applyNumberFormat="1" applyBorder="1"/>
    <xf numFmtId="0" fontId="0" fillId="0" borderId="22" xfId="0" applyBorder="1"/>
    <xf numFmtId="166" fontId="0" fillId="0" borderId="24" xfId="0" applyNumberFormat="1" applyBorder="1"/>
    <xf numFmtId="0" fontId="0" fillId="0" borderId="23" xfId="0" applyBorder="1"/>
    <xf numFmtId="168" fontId="0" fillId="0" borderId="22" xfId="0" applyNumberFormat="1" applyBorder="1"/>
    <xf numFmtId="168" fontId="0" fillId="0" borderId="24" xfId="0" applyNumberFormat="1" applyBorder="1"/>
    <xf numFmtId="168" fontId="0" fillId="0" borderId="23" xfId="0" applyNumberFormat="1" applyBorder="1"/>
    <xf numFmtId="0" fontId="18" fillId="0" borderId="0" xfId="0" applyFont="1"/>
    <xf numFmtId="1" fontId="0" fillId="0" borderId="22" xfId="0" applyNumberFormat="1" applyBorder="1"/>
    <xf numFmtId="1" fontId="0" fillId="0" borderId="24" xfId="0" applyNumberFormat="1" applyBorder="1"/>
    <xf numFmtId="1" fontId="0" fillId="0" borderId="23" xfId="0" applyNumberFormat="1" applyBorder="1"/>
    <xf numFmtId="0" fontId="0" fillId="0" borderId="24" xfId="0" applyBorder="1"/>
    <xf numFmtId="1" fontId="0" fillId="0" borderId="19" xfId="0" applyNumberFormat="1" applyBorder="1"/>
    <xf numFmtId="169" fontId="0" fillId="0" borderId="18" xfId="0" applyNumberFormat="1" applyBorder="1"/>
    <xf numFmtId="170" fontId="0" fillId="0" borderId="15" xfId="0" applyNumberFormat="1" applyBorder="1"/>
    <xf numFmtId="0" fontId="16" fillId="33" borderId="18" xfId="0" applyFont="1" applyFill="1" applyBorder="1" applyAlignment="1">
      <alignment horizontal="center"/>
    </xf>
    <xf numFmtId="0" fontId="0" fillId="33" borderId="19" xfId="0" applyFill="1" applyBorder="1" applyAlignment="1">
      <alignment horizontal="center"/>
    </xf>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 formatCode="0"/>
    </dxf>
    <dxf>
      <numFmt numFmtId="1" formatCode="0"/>
    </dxf>
    <dxf>
      <numFmt numFmtId="0" formatCode="General"/>
    </dxf>
    <dxf>
      <numFmt numFmtId="169"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numFmt numFmtId="171"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71" formatCode="0.0,&quot;K&quot;"/>
    </dxf>
    <dxf>
      <numFmt numFmtId="171"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M&quot;"/>
    </dxf>
    <dxf>
      <numFmt numFmtId="0" formatCode="General"/>
    </dxf>
    <dxf>
      <numFmt numFmtId="1" formatCode="0"/>
    </dxf>
    <dxf>
      <numFmt numFmtId="1" formatCode="0"/>
    </dxf>
    <dxf>
      <numFmt numFmtId="16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 BlinkIT" pivot="0" table="0" count="10" xr9:uid="{D4FBAF90-9D69-4BF3-B8BF-3121C77E365A}">
      <tableStyleElement type="wholeTable" dxfId="911"/>
      <tableStyleElement type="headerRow" dxfId="910"/>
    </tableStyle>
  </tableStyles>
  <colors>
    <mruColors>
      <color rgb="FFD09E00"/>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Excel.xlsx]Sheet1!PivotTable6</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Sheet1!$B$22:$B$23</c:f>
              <c:strCache>
                <c:ptCount val="1"/>
                <c:pt idx="0">
                  <c:v>Regular</c:v>
                </c:pt>
              </c:strCache>
            </c:strRef>
          </c:tx>
          <c:spPr>
            <a:solidFill>
              <a:schemeClr val="accent1"/>
            </a:solidFill>
            <a:ln>
              <a:noFill/>
            </a:ln>
            <a:effectLst/>
          </c:spPr>
          <c:invertIfNegative val="0"/>
          <c:cat>
            <c:strRef>
              <c:f>Sheet1!$A$24:$A$26</c:f>
              <c:strCache>
                <c:ptCount val="3"/>
                <c:pt idx="0">
                  <c:v>Tier 1</c:v>
                </c:pt>
                <c:pt idx="1">
                  <c:v>Tier 2</c:v>
                </c:pt>
                <c:pt idx="2">
                  <c:v>Tier 3</c:v>
                </c:pt>
              </c:strCache>
            </c:strRef>
          </c:cat>
          <c:val>
            <c:numRef>
              <c:f>Sheet1!$B$24:$B$26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860C-4D6C-987B-06B5812B480C}"/>
            </c:ext>
          </c:extLst>
        </c:ser>
        <c:ser>
          <c:idx val="1"/>
          <c:order val="1"/>
          <c:tx>
            <c:strRef>
              <c:f>Sheet1!$C$22:$C$23</c:f>
              <c:strCache>
                <c:ptCount val="1"/>
                <c:pt idx="0">
                  <c:v>Low Fat</c:v>
                </c:pt>
              </c:strCache>
            </c:strRef>
          </c:tx>
          <c:spPr>
            <a:solidFill>
              <a:schemeClr val="accent2"/>
            </a:solidFill>
            <a:ln>
              <a:noFill/>
            </a:ln>
            <a:effectLst/>
          </c:spPr>
          <c:invertIfNegative val="0"/>
          <c:cat>
            <c:strRef>
              <c:f>Sheet1!$A$24:$A$26</c:f>
              <c:strCache>
                <c:ptCount val="3"/>
                <c:pt idx="0">
                  <c:v>Tier 1</c:v>
                </c:pt>
                <c:pt idx="1">
                  <c:v>Tier 2</c:v>
                </c:pt>
                <c:pt idx="2">
                  <c:v>Tier 3</c:v>
                </c:pt>
              </c:strCache>
            </c:strRef>
          </c:cat>
          <c:val>
            <c:numRef>
              <c:f>Sheet1!$C$24:$C$26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4-7A55-48F1-9E48-96F54CC30000}"/>
            </c:ext>
          </c:extLst>
        </c:ser>
        <c:dLbls>
          <c:showLegendKey val="0"/>
          <c:showVal val="0"/>
          <c:showCatName val="0"/>
          <c:showSerName val="0"/>
          <c:showPercent val="0"/>
          <c:showBubbleSize val="0"/>
        </c:dLbls>
        <c:gapWidth val="182"/>
        <c:axId val="1056620416"/>
        <c:axId val="1056610336"/>
      </c:barChart>
      <c:catAx>
        <c:axId val="105662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610336"/>
        <c:crosses val="autoZero"/>
        <c:auto val="1"/>
        <c:lblAlgn val="ctr"/>
        <c:lblOffset val="100"/>
        <c:noMultiLvlLbl val="0"/>
      </c:catAx>
      <c:valAx>
        <c:axId val="1056610336"/>
        <c:scaling>
          <c:orientation val="minMax"/>
        </c:scaling>
        <c:delete val="1"/>
        <c:axPos val="b"/>
        <c:numFmt formatCode="\$0.00,&quot;K&quot;" sourceLinked="1"/>
        <c:majorTickMark val="none"/>
        <c:minorTickMark val="none"/>
        <c:tickLblPos val="nextTo"/>
        <c:crossAx val="1056620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03-4BFE-A967-C363B59DE6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03-4BFE-A967-C363B59DE628}"/>
              </c:ext>
            </c:extLst>
          </c:dPt>
          <c:cat>
            <c:strRef>
              <c:f>Sheet1!$A$12:$A$13</c:f>
              <c:strCache>
                <c:ptCount val="2"/>
                <c:pt idx="0">
                  <c:v>Low Fat</c:v>
                </c:pt>
                <c:pt idx="1">
                  <c:v>Regular</c:v>
                </c:pt>
              </c:strCache>
            </c:strRef>
          </c:cat>
          <c:val>
            <c:numRef>
              <c:f>Sheet1!$B$12:$B$13</c:f>
              <c:numCache>
                <c:formatCode>\$0.00,"K"</c:formatCode>
                <c:ptCount val="2"/>
                <c:pt idx="0">
                  <c:v>776319.68840000057</c:v>
                </c:pt>
                <c:pt idx="1">
                  <c:v>425361.8043999995</c:v>
                </c:pt>
              </c:numCache>
            </c:numRef>
          </c:val>
          <c:extLst>
            <c:ext xmlns:c16="http://schemas.microsoft.com/office/drawing/2014/chart" uri="{C3380CC4-5D6E-409C-BE32-E72D297353CC}">
              <c16:uniqueId val="{00000005-ADBD-4B11-9938-BE55598A75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c:f>
              <c:strCache>
                <c:ptCount val="1"/>
                <c:pt idx="0">
                  <c:v>Total</c:v>
                </c:pt>
              </c:strCache>
            </c:strRef>
          </c:tx>
          <c:spPr>
            <a:solidFill>
              <a:schemeClr val="accent1"/>
            </a:solidFill>
            <a:ln>
              <a:noFill/>
            </a:ln>
            <a:effectLst/>
          </c:spPr>
          <c:invertIfNegative val="0"/>
          <c:cat>
            <c:strRef>
              <c:f>Sheet1!$A$33:$A$48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9203-482C-85AC-9618EEA97967}"/>
            </c:ext>
          </c:extLst>
        </c:ser>
        <c:dLbls>
          <c:showLegendKey val="0"/>
          <c:showVal val="0"/>
          <c:showCatName val="0"/>
          <c:showSerName val="0"/>
          <c:showPercent val="0"/>
          <c:showBubbleSize val="0"/>
        </c:dLbls>
        <c:gapWidth val="182"/>
        <c:axId val="1231931568"/>
        <c:axId val="1231941168"/>
      </c:barChart>
      <c:catAx>
        <c:axId val="123193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41168"/>
        <c:crosses val="autoZero"/>
        <c:auto val="1"/>
        <c:lblAlgn val="ctr"/>
        <c:lblOffset val="100"/>
        <c:noMultiLvlLbl val="0"/>
      </c:catAx>
      <c:valAx>
        <c:axId val="1231941168"/>
        <c:scaling>
          <c:orientation val="minMax"/>
        </c:scaling>
        <c:delete val="1"/>
        <c:axPos val="b"/>
        <c:numFmt formatCode="\$0.0,&quot;K&quot;" sourceLinked="1"/>
        <c:majorTickMark val="none"/>
        <c:minorTickMark val="none"/>
        <c:tickLblPos val="nextTo"/>
        <c:crossAx val="12319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Excel.xlsx]Sheet1!PivotTable12</c:name>
    <c:fmtId val="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Sheet1!$B$52</c:f>
              <c:strCache>
                <c:ptCount val="1"/>
                <c:pt idx="0">
                  <c:v>Total</c:v>
                </c:pt>
              </c:strCache>
            </c:strRef>
          </c:tx>
          <c:spPr>
            <a:solidFill>
              <a:schemeClr val="accent1"/>
            </a:solidFill>
            <a:ln w="25400">
              <a:noFill/>
            </a:ln>
            <a:effectLst/>
          </c:spPr>
          <c:cat>
            <c:strRef>
              <c:f>Sheet1!$A$53:$A$61</c:f>
              <c:strCache>
                <c:ptCount val="9"/>
                <c:pt idx="0">
                  <c:v>2011</c:v>
                </c:pt>
                <c:pt idx="1">
                  <c:v>2012</c:v>
                </c:pt>
                <c:pt idx="2">
                  <c:v>2014</c:v>
                </c:pt>
                <c:pt idx="3">
                  <c:v>2015</c:v>
                </c:pt>
                <c:pt idx="4">
                  <c:v>2016</c:v>
                </c:pt>
                <c:pt idx="5">
                  <c:v>2017</c:v>
                </c:pt>
                <c:pt idx="6">
                  <c:v>2018</c:v>
                </c:pt>
                <c:pt idx="7">
                  <c:v>2020</c:v>
                </c:pt>
                <c:pt idx="8">
                  <c:v>2022</c:v>
                </c:pt>
              </c:strCache>
            </c:strRef>
          </c:cat>
          <c:val>
            <c:numRef>
              <c:f>Sheet1!$B$53:$B$61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2880-4A31-AF5A-90C7D42A281C}"/>
            </c:ext>
          </c:extLst>
        </c:ser>
        <c:dLbls>
          <c:showLegendKey val="0"/>
          <c:showVal val="0"/>
          <c:showCatName val="0"/>
          <c:showSerName val="0"/>
          <c:showPercent val="0"/>
          <c:showBubbleSize val="0"/>
        </c:dLbls>
        <c:axId val="1262868960"/>
        <c:axId val="1262866560"/>
      </c:areaChart>
      <c:catAx>
        <c:axId val="126286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66560"/>
        <c:crosses val="autoZero"/>
        <c:auto val="1"/>
        <c:lblAlgn val="ctr"/>
        <c:lblOffset val="100"/>
        <c:noMultiLvlLbl val="0"/>
      </c:catAx>
      <c:valAx>
        <c:axId val="1262866560"/>
        <c:scaling>
          <c:orientation val="minMax"/>
        </c:scaling>
        <c:delete val="1"/>
        <c:axPos val="l"/>
        <c:numFmt formatCode="\$0.0,&quot;K&quot;" sourceLinked="1"/>
        <c:majorTickMark val="none"/>
        <c:minorTickMark val="none"/>
        <c:tickLblPos val="nextTo"/>
        <c:crossAx val="126286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18574735196935332"/>
          <c:y val="0.17890407751075726"/>
          <c:w val="0.62850529606129335"/>
          <c:h val="0.72196333265033319"/>
        </c:manualLayout>
      </c:layout>
      <c:doughnutChart>
        <c:varyColors val="1"/>
        <c:ser>
          <c:idx val="0"/>
          <c:order val="0"/>
          <c:tx>
            <c:strRef>
              <c:f>Sheet1!$B$65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D1-4B6F-9FF7-57D3F19C06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D1-4B6F-9FF7-57D3F19C06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D1-4B6F-9FF7-57D3F19C0623}"/>
              </c:ext>
            </c:extLst>
          </c:dPt>
          <c:cat>
            <c:strRef>
              <c:f>Sheet1!$A$66:$A$68</c:f>
              <c:strCache>
                <c:ptCount val="3"/>
                <c:pt idx="0">
                  <c:v>High</c:v>
                </c:pt>
                <c:pt idx="1">
                  <c:v>Medium</c:v>
                </c:pt>
                <c:pt idx="2">
                  <c:v>Small</c:v>
                </c:pt>
              </c:strCache>
            </c:strRef>
          </c:cat>
          <c:val>
            <c:numRef>
              <c:f>Sheet1!$B$66:$B$68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C8A-4100-AD63-B549FFEC41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Sheet1!$J$13</c:f>
              <c:strCache>
                <c:ptCount val="1"/>
                <c:pt idx="0">
                  <c:v>Total</c:v>
                </c:pt>
              </c:strCache>
            </c:strRef>
          </c:tx>
          <c:spPr>
            <a:solidFill>
              <a:schemeClr val="accent1"/>
            </a:solidFill>
            <a:ln>
              <a:noFill/>
            </a:ln>
            <a:effectLst/>
          </c:spPr>
          <c:invertIfNegative val="0"/>
          <c:cat>
            <c:strRef>
              <c:f>Sheet1!$I$14:$I$17</c:f>
              <c:strCache>
                <c:ptCount val="4"/>
                <c:pt idx="0">
                  <c:v>Grocery Store</c:v>
                </c:pt>
                <c:pt idx="1">
                  <c:v>Supermarket Type3</c:v>
                </c:pt>
                <c:pt idx="2">
                  <c:v>Supermarket Type2</c:v>
                </c:pt>
                <c:pt idx="3">
                  <c:v>Supermarket Type1</c:v>
                </c:pt>
              </c:strCache>
            </c:strRef>
          </c:cat>
          <c:val>
            <c:numRef>
              <c:f>Sheet1!$J$14:$J$17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89B2-45A3-B1B9-6E1EF52B8479}"/>
            </c:ext>
          </c:extLst>
        </c:ser>
        <c:dLbls>
          <c:showLegendKey val="0"/>
          <c:showVal val="0"/>
          <c:showCatName val="0"/>
          <c:showSerName val="0"/>
          <c:showPercent val="0"/>
          <c:showBubbleSize val="0"/>
        </c:dLbls>
        <c:gapWidth val="182"/>
        <c:axId val="2030164111"/>
        <c:axId val="2030168431"/>
      </c:barChart>
      <c:catAx>
        <c:axId val="203016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68431"/>
        <c:crosses val="autoZero"/>
        <c:auto val="1"/>
        <c:lblAlgn val="ctr"/>
        <c:lblOffset val="100"/>
        <c:noMultiLvlLbl val="0"/>
      </c:catAx>
      <c:valAx>
        <c:axId val="2030168431"/>
        <c:scaling>
          <c:orientation val="minMax"/>
        </c:scaling>
        <c:delete val="1"/>
        <c:axPos val="b"/>
        <c:numFmt formatCode="\$0.0,&quot;K&quot;" sourceLinked="1"/>
        <c:majorTickMark val="none"/>
        <c:minorTickMark val="none"/>
        <c:tickLblPos val="nextTo"/>
        <c:crossAx val="203016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Sheet1!$J$21</c:f>
              <c:strCache>
                <c:ptCount val="1"/>
                <c:pt idx="0">
                  <c:v>Total</c:v>
                </c:pt>
              </c:strCache>
            </c:strRef>
          </c:tx>
          <c:spPr>
            <a:solidFill>
              <a:schemeClr val="accent1"/>
            </a:solidFill>
            <a:ln>
              <a:noFill/>
            </a:ln>
            <a:effectLst/>
          </c:spPr>
          <c:invertIfNegative val="0"/>
          <c:cat>
            <c:strRef>
              <c:f>Sheet1!$I$22:$I$25</c:f>
              <c:strCache>
                <c:ptCount val="4"/>
                <c:pt idx="0">
                  <c:v>Grocery Store</c:v>
                </c:pt>
                <c:pt idx="1">
                  <c:v>Supermarket Type3</c:v>
                </c:pt>
                <c:pt idx="2">
                  <c:v>Supermarket Type2</c:v>
                </c:pt>
                <c:pt idx="3">
                  <c:v>Supermarket Type1</c:v>
                </c:pt>
              </c:strCache>
            </c:strRef>
          </c:cat>
          <c:val>
            <c:numRef>
              <c:f>Sheet1!$J$22:$J$25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13E0-41F5-AF38-1791B4DCB97E}"/>
            </c:ext>
          </c:extLst>
        </c:ser>
        <c:dLbls>
          <c:showLegendKey val="0"/>
          <c:showVal val="0"/>
          <c:showCatName val="0"/>
          <c:showSerName val="0"/>
          <c:showPercent val="0"/>
          <c:showBubbleSize val="0"/>
        </c:dLbls>
        <c:gapWidth val="182"/>
        <c:axId val="1969777999"/>
        <c:axId val="1969780399"/>
      </c:barChart>
      <c:catAx>
        <c:axId val="196977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80399"/>
        <c:crosses val="autoZero"/>
        <c:auto val="1"/>
        <c:lblAlgn val="ctr"/>
        <c:lblOffset val="100"/>
        <c:noMultiLvlLbl val="0"/>
      </c:catAx>
      <c:valAx>
        <c:axId val="1969780399"/>
        <c:scaling>
          <c:orientation val="minMax"/>
        </c:scaling>
        <c:delete val="1"/>
        <c:axPos val="b"/>
        <c:numFmt formatCode="\$0" sourceLinked="1"/>
        <c:majorTickMark val="none"/>
        <c:minorTickMark val="none"/>
        <c:tickLblPos val="nextTo"/>
        <c:crossAx val="196977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5.0925925925925923E-2"/>
          <c:w val="0.63734908136482926"/>
          <c:h val="0.89814814814814814"/>
        </c:manualLayout>
      </c:layout>
      <c:barChart>
        <c:barDir val="bar"/>
        <c:grouping val="clustered"/>
        <c:varyColors val="0"/>
        <c:ser>
          <c:idx val="0"/>
          <c:order val="0"/>
          <c:tx>
            <c:strRef>
              <c:f>Sheet1!$J$32</c:f>
              <c:strCache>
                <c:ptCount val="1"/>
                <c:pt idx="0">
                  <c:v>Total</c:v>
                </c:pt>
              </c:strCache>
            </c:strRef>
          </c:tx>
          <c:spPr>
            <a:solidFill>
              <a:schemeClr val="accent1"/>
            </a:solidFill>
            <a:ln>
              <a:noFill/>
            </a:ln>
            <a:effectLst/>
          </c:spPr>
          <c:invertIfNegative val="0"/>
          <c:cat>
            <c:strRef>
              <c:f>Sheet1!$I$33:$I$36</c:f>
              <c:strCache>
                <c:ptCount val="4"/>
                <c:pt idx="0">
                  <c:v>Grocery Store</c:v>
                </c:pt>
                <c:pt idx="1">
                  <c:v>Supermarket Type3</c:v>
                </c:pt>
                <c:pt idx="2">
                  <c:v>Supermarket Type2</c:v>
                </c:pt>
                <c:pt idx="3">
                  <c:v>Supermarket Type1</c:v>
                </c:pt>
              </c:strCache>
            </c:strRef>
          </c:cat>
          <c:val>
            <c:numRef>
              <c:f>Sheet1!$J$33:$J$36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8FDF-403A-AFEB-DFA8E19B5F54}"/>
            </c:ext>
          </c:extLst>
        </c:ser>
        <c:dLbls>
          <c:showLegendKey val="0"/>
          <c:showVal val="0"/>
          <c:showCatName val="0"/>
          <c:showSerName val="0"/>
          <c:showPercent val="0"/>
          <c:showBubbleSize val="0"/>
        </c:dLbls>
        <c:gapWidth val="182"/>
        <c:axId val="160672175"/>
        <c:axId val="160672655"/>
      </c:barChart>
      <c:catAx>
        <c:axId val="16067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2655"/>
        <c:crosses val="autoZero"/>
        <c:auto val="1"/>
        <c:lblAlgn val="ctr"/>
        <c:lblOffset val="100"/>
        <c:noMultiLvlLbl val="0"/>
      </c:catAx>
      <c:valAx>
        <c:axId val="160672655"/>
        <c:scaling>
          <c:orientation val="minMax"/>
        </c:scaling>
        <c:delete val="1"/>
        <c:axPos val="b"/>
        <c:numFmt formatCode="0" sourceLinked="1"/>
        <c:majorTickMark val="none"/>
        <c:minorTickMark val="none"/>
        <c:tickLblPos val="nextTo"/>
        <c:crossAx val="16067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Excel.xlsx]Sheet1!PivotTable7</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9584969538585071E-2"/>
              <c:y val="0.1833602761628380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308973634876208"/>
                  <c:h val="0.22551311303087507"/>
                </c:manualLayout>
              </c15:layout>
            </c:ext>
          </c:extLst>
        </c:dLbl>
      </c:pivotFmt>
      <c:pivotFmt>
        <c:idx val="6"/>
        <c:spPr>
          <a:solidFill>
            <a:schemeClr val="accent6">
              <a:lumMod val="75000"/>
            </a:schemeClr>
          </a:solidFill>
          <a:ln w="19050">
            <a:solidFill>
              <a:schemeClr val="lt1"/>
            </a:solidFill>
          </a:ln>
          <a:effectLst/>
        </c:spPr>
        <c:dLbl>
          <c:idx val="0"/>
          <c:layout>
            <c:manualLayout>
              <c:x val="-8.2152226620474916E-2"/>
              <c:y val="-8.28078666541849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93504269102714"/>
                  <c:h val="0.22551328670914239"/>
                </c:manualLayout>
              </c15:layout>
            </c:ext>
          </c:extLst>
        </c:dLbl>
      </c:pivotFmt>
      <c:pivotFmt>
        <c:idx val="7"/>
        <c:spPr>
          <a:solidFill>
            <a:srgbClr val="D09E00"/>
          </a:solidFill>
          <a:ln w="19050">
            <a:solidFill>
              <a:schemeClr val="lt1"/>
            </a:solidFill>
          </a:ln>
          <a:effectLst/>
        </c:spPr>
      </c:pivotFmt>
    </c:pivotFmts>
    <c:plotArea>
      <c:layout>
        <c:manualLayout>
          <c:layoutTarget val="inner"/>
          <c:xMode val="edge"/>
          <c:yMode val="edge"/>
          <c:x val="0.18445960995870064"/>
          <c:y val="0.19019681539015409"/>
          <c:w val="0.58347608226057701"/>
          <c:h val="0.71274809948228079"/>
        </c:manualLayout>
      </c:layout>
      <c:doughnutChart>
        <c:varyColors val="1"/>
        <c:ser>
          <c:idx val="0"/>
          <c:order val="0"/>
          <c:tx>
            <c:strRef>
              <c:f>Sheet1!$B$11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7-D632-4936-A74C-DDFA4465BB1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B00-4C23-9E65-2056C94FF920}"/>
              </c:ext>
            </c:extLst>
          </c:dPt>
          <c:dLbls>
            <c:dLbl>
              <c:idx val="0"/>
              <c:layout>
                <c:manualLayout>
                  <c:x val="7.9584969538585071E-2"/>
                  <c:y val="0.18336027616283809"/>
                </c:manualLayout>
              </c:layout>
              <c:showLegendKey val="0"/>
              <c:showVal val="1"/>
              <c:showCatName val="0"/>
              <c:showSerName val="0"/>
              <c:showPercent val="1"/>
              <c:showBubbleSize val="0"/>
              <c:extLst>
                <c:ext xmlns:c15="http://schemas.microsoft.com/office/drawing/2012/chart" uri="{CE6537A1-D6FC-4f65-9D91-7224C49458BB}">
                  <c15:layout>
                    <c:manualLayout>
                      <c:w val="0.31308973634876208"/>
                      <c:h val="0.22551311303087507"/>
                    </c:manualLayout>
                  </c15:layout>
                </c:ext>
                <c:ext xmlns:c16="http://schemas.microsoft.com/office/drawing/2014/chart" uri="{C3380CC4-5D6E-409C-BE32-E72D297353CC}">
                  <c16:uniqueId val="{00000007-D632-4936-A74C-DDFA4465BB1F}"/>
                </c:ext>
              </c:extLst>
            </c:dLbl>
            <c:dLbl>
              <c:idx val="1"/>
              <c:layout>
                <c:manualLayout>
                  <c:x val="-8.2152226620474916E-2"/>
                  <c:y val="-8.2807866654184936E-2"/>
                </c:manualLayout>
              </c:layout>
              <c:showLegendKey val="0"/>
              <c:showVal val="1"/>
              <c:showCatName val="0"/>
              <c:showSerName val="0"/>
              <c:showPercent val="1"/>
              <c:showBubbleSize val="0"/>
              <c:extLst>
                <c:ext xmlns:c15="http://schemas.microsoft.com/office/drawing/2012/chart" uri="{CE6537A1-D6FC-4f65-9D91-7224C49458BB}">
                  <c15:layout>
                    <c:manualLayout>
                      <c:w val="0.27293504269102714"/>
                      <c:h val="0.22551328670914239"/>
                    </c:manualLayout>
                  </c15:layout>
                </c:ext>
                <c:ext xmlns:c16="http://schemas.microsoft.com/office/drawing/2014/chart" uri="{C3380CC4-5D6E-409C-BE32-E72D297353CC}">
                  <c16:uniqueId val="{00000003-2B00-4C23-9E65-2056C94FF92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\$0.00,"K"</c:formatCode>
                <c:ptCount val="2"/>
                <c:pt idx="0">
                  <c:v>776319.68840000057</c:v>
                </c:pt>
                <c:pt idx="1">
                  <c:v>425361.8043999995</c:v>
                </c:pt>
              </c:numCache>
            </c:numRef>
          </c:val>
          <c:extLst>
            <c:ext xmlns:c16="http://schemas.microsoft.com/office/drawing/2014/chart" uri="{C3380CC4-5D6E-409C-BE32-E72D297353CC}">
              <c16:uniqueId val="{00000006-D632-4936-A74C-DDFA4465BB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630500954736629"/>
          <c:y val="3.5489085708936406E-2"/>
          <c:w val="0.48091736247797523"/>
          <c:h val="0.100307606808411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
        <c:idx val="7"/>
        <c:spPr>
          <a:solidFill>
            <a:srgbClr val="D09E00"/>
          </a:solidFill>
          <a:ln>
            <a:noFill/>
          </a:ln>
          <a:effectLst/>
        </c:spPr>
        <c:dLbl>
          <c:idx val="0"/>
          <c:layout>
            <c:manualLayout>
              <c:x val="-2.2877754095672899E-3"/>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7542524192081"/>
                  <c:h val="0.17915760767113648"/>
                </c:manualLayout>
              </c15:layout>
            </c:ext>
          </c:extLst>
        </c:dLbl>
      </c:pivotFmt>
      <c:pivotFmt>
        <c:idx val="8"/>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Sheet1!$B$24:$B$26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773-4529-89CA-A2E2E92FA49E}"/>
            </c:ext>
          </c:extLst>
        </c:ser>
        <c:ser>
          <c:idx val="1"/>
          <c:order val="1"/>
          <c:tx>
            <c:strRef>
              <c:f>Sheet1!$C$22:$C$23</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1-E0CA-4DE2-8CE3-A4BB16C288A3}"/>
              </c:ext>
            </c:extLst>
          </c:dPt>
          <c:dLbls>
            <c:dLbl>
              <c:idx val="1"/>
              <c:layout>
                <c:manualLayout>
                  <c:x val="-2.2877754095672899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67542524192081"/>
                      <c:h val="0.17915760767113648"/>
                    </c:manualLayout>
                  </c15:layout>
                </c:ext>
                <c:ext xmlns:c16="http://schemas.microsoft.com/office/drawing/2014/chart" uri="{C3380CC4-5D6E-409C-BE32-E72D297353CC}">
                  <c16:uniqueId val="{00000001-E0CA-4DE2-8CE3-A4BB16C288A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Sheet1!$C$24:$C$26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4-5796-4868-846B-6AE5033DA9BB}"/>
            </c:ext>
          </c:extLst>
        </c:ser>
        <c:dLbls>
          <c:showLegendKey val="0"/>
          <c:showVal val="0"/>
          <c:showCatName val="0"/>
          <c:showSerName val="0"/>
          <c:showPercent val="0"/>
          <c:showBubbleSize val="0"/>
        </c:dLbls>
        <c:gapWidth val="60"/>
        <c:axId val="1056620416"/>
        <c:axId val="1056610336"/>
      </c:barChart>
      <c:catAx>
        <c:axId val="105662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56610336"/>
        <c:crosses val="autoZero"/>
        <c:auto val="1"/>
        <c:lblAlgn val="ctr"/>
        <c:lblOffset val="100"/>
        <c:noMultiLvlLbl val="0"/>
      </c:catAx>
      <c:valAx>
        <c:axId val="1056610336"/>
        <c:scaling>
          <c:orientation val="minMax"/>
        </c:scaling>
        <c:delete val="1"/>
        <c:axPos val="b"/>
        <c:numFmt formatCode="\$0.00,&quot;K&quot;" sourceLinked="1"/>
        <c:majorTickMark val="none"/>
        <c:minorTickMark val="none"/>
        <c:tickLblPos val="nextTo"/>
        <c:crossAx val="1056620416"/>
        <c:crosses val="autoZero"/>
        <c:crossBetween val="between"/>
      </c:valAx>
      <c:spPr>
        <a:noFill/>
        <a:ln>
          <a:noFill/>
        </a:ln>
        <a:effectLst/>
      </c:spPr>
    </c:plotArea>
    <c:legend>
      <c:legendPos val="t"/>
      <c:layout>
        <c:manualLayout>
          <c:xMode val="edge"/>
          <c:yMode val="edge"/>
          <c:x val="0.25469972786684203"/>
          <c:y val="6.4903837554382518E-2"/>
          <c:w val="0.49060018755749701"/>
          <c:h val="9.756204626470062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5.660375256137551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84375637276949"/>
          <c:y val="3.1132063908756533E-2"/>
          <c:w val="0.47928390520673875"/>
          <c:h val="0.93773587218248688"/>
        </c:manualLayout>
      </c:layout>
      <c:barChart>
        <c:barDir val="bar"/>
        <c:grouping val="clustered"/>
        <c:varyColors val="0"/>
        <c:ser>
          <c:idx val="0"/>
          <c:order val="0"/>
          <c:tx>
            <c:strRef>
              <c:f>Sheet1!$B$32</c:f>
              <c:strCache>
                <c:ptCount val="1"/>
                <c:pt idx="0">
                  <c:v>Total</c:v>
                </c:pt>
              </c:strCache>
            </c:strRef>
          </c:tx>
          <c:spPr>
            <a:solidFill>
              <a:srgbClr val="D0AC2C"/>
            </a:solidFill>
            <a:ln>
              <a:noFill/>
            </a:ln>
            <a:effectLst/>
          </c:spPr>
          <c:invertIfNegative val="0"/>
          <c:dPt>
            <c:idx val="15"/>
            <c:invertIfNegative val="0"/>
            <c:bubble3D val="0"/>
            <c:spPr>
              <a:solidFill>
                <a:srgbClr val="D0AC2C"/>
              </a:solidFill>
              <a:ln>
                <a:noFill/>
              </a:ln>
              <a:effectLst/>
            </c:spPr>
            <c:extLst>
              <c:ext xmlns:c16="http://schemas.microsoft.com/office/drawing/2014/chart" uri="{C3380CC4-5D6E-409C-BE32-E72D297353CC}">
                <c16:uniqueId val="{00000001-DCAE-4F19-99E9-83F5B49B53CE}"/>
              </c:ext>
            </c:extLst>
          </c:dPt>
          <c:dLbls>
            <c:dLbl>
              <c:idx val="15"/>
              <c:layout>
                <c:manualLayout>
                  <c:x val="0"/>
                  <c:y val="5.6603752561375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E-4F19-99E9-83F5B49B53C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B6D2-4A2D-82B5-C14004865939}"/>
            </c:ext>
          </c:extLst>
        </c:ser>
        <c:dLbls>
          <c:dLblPos val="outEnd"/>
          <c:showLegendKey val="0"/>
          <c:showVal val="1"/>
          <c:showCatName val="0"/>
          <c:showSerName val="0"/>
          <c:showPercent val="0"/>
          <c:showBubbleSize val="0"/>
        </c:dLbls>
        <c:gapWidth val="60"/>
        <c:axId val="1231931568"/>
        <c:axId val="1231941168"/>
      </c:barChart>
      <c:catAx>
        <c:axId val="123193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31941168"/>
        <c:crosses val="autoZero"/>
        <c:auto val="1"/>
        <c:lblAlgn val="ctr"/>
        <c:lblOffset val="100"/>
        <c:noMultiLvlLbl val="0"/>
      </c:catAx>
      <c:valAx>
        <c:axId val="1231941168"/>
        <c:scaling>
          <c:orientation val="minMax"/>
        </c:scaling>
        <c:delete val="1"/>
        <c:axPos val="b"/>
        <c:numFmt formatCode="\$0.0,&quot;K&quot;" sourceLinked="1"/>
        <c:majorTickMark val="none"/>
        <c:minorTickMark val="none"/>
        <c:tickLblPos val="nextTo"/>
        <c:crossAx val="12319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1.6954472735088533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6.3579272756581996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2.1193090918860667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0"/>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4.2386181837721333E-3"/>
              <c:y val="-0.3009259259259259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0"/>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1.4835163643202311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0"/>
              <c:y val="-0.2361111111111110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1.6954472735088533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77098495640976E-2"/>
          <c:y val="8.0983887430737825E-2"/>
          <c:w val="0.84134868825614073"/>
          <c:h val="0.77223024205307667"/>
        </c:manualLayout>
      </c:layout>
      <c:areaChart>
        <c:grouping val="standard"/>
        <c:varyColors val="0"/>
        <c:ser>
          <c:idx val="0"/>
          <c:order val="0"/>
          <c:tx>
            <c:strRef>
              <c:f>Sheet1!$B$52</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4CC5-44FD-8003-E89B9EDF1536}"/>
              </c:ext>
            </c:extLst>
          </c:dPt>
          <c:dPt>
            <c:idx val="1"/>
            <c:bubble3D val="0"/>
            <c:extLst>
              <c:ext xmlns:c16="http://schemas.microsoft.com/office/drawing/2014/chart" uri="{C3380CC4-5D6E-409C-BE32-E72D297353CC}">
                <c16:uniqueId val="{00000001-4CC5-44FD-8003-E89B9EDF1536}"/>
              </c:ext>
            </c:extLst>
          </c:dPt>
          <c:dPt>
            <c:idx val="2"/>
            <c:bubble3D val="0"/>
            <c:extLst>
              <c:ext xmlns:c16="http://schemas.microsoft.com/office/drawing/2014/chart" uri="{C3380CC4-5D6E-409C-BE32-E72D297353CC}">
                <c16:uniqueId val="{00000002-4CC5-44FD-8003-E89B9EDF1536}"/>
              </c:ext>
            </c:extLst>
          </c:dPt>
          <c:dPt>
            <c:idx val="3"/>
            <c:bubble3D val="0"/>
            <c:extLst>
              <c:ext xmlns:c16="http://schemas.microsoft.com/office/drawing/2014/chart" uri="{C3380CC4-5D6E-409C-BE32-E72D297353CC}">
                <c16:uniqueId val="{00000003-4CC5-44FD-8003-E89B9EDF1536}"/>
              </c:ext>
            </c:extLst>
          </c:dPt>
          <c:dPt>
            <c:idx val="4"/>
            <c:bubble3D val="0"/>
            <c:extLst>
              <c:ext xmlns:c16="http://schemas.microsoft.com/office/drawing/2014/chart" uri="{C3380CC4-5D6E-409C-BE32-E72D297353CC}">
                <c16:uniqueId val="{00000004-4CC5-44FD-8003-E89B9EDF1536}"/>
              </c:ext>
            </c:extLst>
          </c:dPt>
          <c:dPt>
            <c:idx val="5"/>
            <c:bubble3D val="0"/>
            <c:extLst>
              <c:ext xmlns:c16="http://schemas.microsoft.com/office/drawing/2014/chart" uri="{C3380CC4-5D6E-409C-BE32-E72D297353CC}">
                <c16:uniqueId val="{00000005-4CC5-44FD-8003-E89B9EDF1536}"/>
              </c:ext>
            </c:extLst>
          </c:dPt>
          <c:dPt>
            <c:idx val="6"/>
            <c:bubble3D val="0"/>
            <c:extLst>
              <c:ext xmlns:c16="http://schemas.microsoft.com/office/drawing/2014/chart" uri="{C3380CC4-5D6E-409C-BE32-E72D297353CC}">
                <c16:uniqueId val="{00000006-4CC5-44FD-8003-E89B9EDF1536}"/>
              </c:ext>
            </c:extLst>
          </c:dPt>
          <c:dPt>
            <c:idx val="7"/>
            <c:bubble3D val="0"/>
            <c:extLst>
              <c:ext xmlns:c16="http://schemas.microsoft.com/office/drawing/2014/chart" uri="{C3380CC4-5D6E-409C-BE32-E72D297353CC}">
                <c16:uniqueId val="{00000007-4CC5-44FD-8003-E89B9EDF1536}"/>
              </c:ext>
            </c:extLst>
          </c:dPt>
          <c:dPt>
            <c:idx val="8"/>
            <c:bubble3D val="0"/>
            <c:extLst>
              <c:ext xmlns:c16="http://schemas.microsoft.com/office/drawing/2014/chart" uri="{C3380CC4-5D6E-409C-BE32-E72D297353CC}">
                <c16:uniqueId val="{00000008-4CC5-44FD-8003-E89B9EDF1536}"/>
              </c:ext>
            </c:extLst>
          </c:dPt>
          <c:dLbls>
            <c:dLbl>
              <c:idx val="0"/>
              <c:layout>
                <c:manualLayout>
                  <c:x val="-1.6954472735088533E-2"/>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C5-44FD-8003-E89B9EDF1536}"/>
                </c:ext>
              </c:extLst>
            </c:dLbl>
            <c:dLbl>
              <c:idx val="1"/>
              <c:layout>
                <c:manualLayout>
                  <c:x val="-1.6954472735088533E-2"/>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C5-44FD-8003-E89B9EDF1536}"/>
                </c:ext>
              </c:extLst>
            </c:dLbl>
            <c:dLbl>
              <c:idx val="2"/>
              <c:layout>
                <c:manualLayout>
                  <c:x val="-6.3579272756581996E-3"/>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C5-44FD-8003-E89B9EDF1536}"/>
                </c:ext>
              </c:extLst>
            </c:dLbl>
            <c:dLbl>
              <c:idx val="3"/>
              <c:layout>
                <c:manualLayout>
                  <c:x val="-2.1193090918860667E-3"/>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C5-44FD-8003-E89B9EDF1536}"/>
                </c:ext>
              </c:extLst>
            </c:dLbl>
            <c:dLbl>
              <c:idx val="4"/>
              <c:layout>
                <c:manualLayout>
                  <c:x val="0"/>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C5-44FD-8003-E89B9EDF1536}"/>
                </c:ext>
              </c:extLst>
            </c:dLbl>
            <c:dLbl>
              <c:idx val="5"/>
              <c:layout>
                <c:manualLayout>
                  <c:x val="-4.2386181837721333E-3"/>
                  <c:y val="-0.30092592592592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C5-44FD-8003-E89B9EDF1536}"/>
                </c:ext>
              </c:extLst>
            </c:dLbl>
            <c:dLbl>
              <c:idx val="6"/>
              <c:layout>
                <c:manualLayout>
                  <c:x val="0"/>
                  <c:y val="-0.36574074074074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C5-44FD-8003-E89B9EDF1536}"/>
                </c:ext>
              </c:extLst>
            </c:dLbl>
            <c:dLbl>
              <c:idx val="7"/>
              <c:layout>
                <c:manualLayout>
                  <c:x val="1.4835163643202311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C5-44FD-8003-E89B9EDF1536}"/>
                </c:ext>
              </c:extLst>
            </c:dLbl>
            <c:dLbl>
              <c:idx val="8"/>
              <c:layout>
                <c:manualLayout>
                  <c:x val="0"/>
                  <c:y val="-0.23611111111111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C5-44FD-8003-E89B9EDF153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Sheet1!$A$53:$A$61</c:f>
              <c:strCache>
                <c:ptCount val="9"/>
                <c:pt idx="0">
                  <c:v>2011</c:v>
                </c:pt>
                <c:pt idx="1">
                  <c:v>2012</c:v>
                </c:pt>
                <c:pt idx="2">
                  <c:v>2014</c:v>
                </c:pt>
                <c:pt idx="3">
                  <c:v>2015</c:v>
                </c:pt>
                <c:pt idx="4">
                  <c:v>2016</c:v>
                </c:pt>
                <c:pt idx="5">
                  <c:v>2017</c:v>
                </c:pt>
                <c:pt idx="6">
                  <c:v>2018</c:v>
                </c:pt>
                <c:pt idx="7">
                  <c:v>2020</c:v>
                </c:pt>
                <c:pt idx="8">
                  <c:v>2022</c:v>
                </c:pt>
              </c:strCache>
            </c:strRef>
          </c:cat>
          <c:val>
            <c:numRef>
              <c:f>Sheet1!$B$53:$B$61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2393-4184-8D61-63D1BF9A2315}"/>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62868960"/>
        <c:axId val="1262866560"/>
      </c:areaChart>
      <c:catAx>
        <c:axId val="12628689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crossAx val="1262866560"/>
        <c:crosses val="autoZero"/>
        <c:auto val="1"/>
        <c:lblAlgn val="ctr"/>
        <c:lblOffset val="100"/>
        <c:noMultiLvlLbl val="0"/>
      </c:catAx>
      <c:valAx>
        <c:axId val="1262866560"/>
        <c:scaling>
          <c:orientation val="minMax"/>
        </c:scaling>
        <c:delete val="1"/>
        <c:axPos val="l"/>
        <c:numFmt formatCode="\$0.0,&quot;K&quot;" sourceLinked="1"/>
        <c:majorTickMark val="out"/>
        <c:minorTickMark val="none"/>
        <c:tickLblPos val="nextTo"/>
        <c:crossAx val="126286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0039059743782"/>
              <c:y val="-4.51555555555555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99515512904127"/>
                  <c:h val="0.16308975232273407"/>
                </c:manualLayout>
              </c15:layout>
            </c:ext>
          </c:extLst>
        </c:dLbl>
      </c:pivotFmt>
      <c:pivotFmt>
        <c:idx val="7"/>
        <c:spPr>
          <a:solidFill>
            <a:schemeClr val="accent6">
              <a:lumMod val="75000"/>
            </a:schemeClr>
          </a:solidFill>
          <a:ln w="19050">
            <a:solidFill>
              <a:schemeClr val="lt1"/>
            </a:solidFill>
          </a:ln>
          <a:effectLst/>
        </c:spPr>
        <c:dLbl>
          <c:idx val="0"/>
          <c:layout>
            <c:manualLayout>
              <c:x val="0.23325353982599456"/>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43738512489094"/>
                  <c:h val="0.16308975232273407"/>
                </c:manualLayout>
              </c15:layout>
            </c:ext>
          </c:extLst>
        </c:dLbl>
      </c:pivotFmt>
      <c:pivotFmt>
        <c:idx val="8"/>
        <c:spPr>
          <a:solidFill>
            <a:srgbClr val="D09E00"/>
          </a:solidFill>
          <a:ln w="19050">
            <a:solidFill>
              <a:schemeClr val="lt1"/>
            </a:solidFill>
          </a:ln>
          <a:effectLst/>
        </c:spPr>
        <c:dLbl>
          <c:idx val="0"/>
          <c:layout>
            <c:manualLayout>
              <c:x val="-5.2786778671926812E-3"/>
              <c:y val="-9.2967622801543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17511996320049"/>
                  <c:h val="9.3879381500545395E-2"/>
                </c:manualLayout>
              </c15:layout>
            </c:ext>
          </c:extLst>
        </c:dLbl>
      </c:pivotFmt>
    </c:pivotFmts>
    <c:plotArea>
      <c:layout>
        <c:manualLayout>
          <c:layoutTarget val="inner"/>
          <c:xMode val="edge"/>
          <c:yMode val="edge"/>
          <c:x val="0.18574735196935332"/>
          <c:y val="0.17890407751075726"/>
          <c:w val="0.62850529606129335"/>
          <c:h val="0.72196333265033319"/>
        </c:manualLayout>
      </c:layout>
      <c:doughnutChart>
        <c:varyColors val="1"/>
        <c:ser>
          <c:idx val="0"/>
          <c:order val="0"/>
          <c:tx>
            <c:strRef>
              <c:f>Sheet1!$B$65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EC2-4C1F-823B-20F2885FA7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EC2-4C1F-823B-20F2885FA7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8EC2-4C1F-823B-20F2885FA77E}"/>
              </c:ext>
            </c:extLst>
          </c:dPt>
          <c:dLbls>
            <c:dLbl>
              <c:idx val="0"/>
              <c:layout>
                <c:manualLayout>
                  <c:x val="0.12450039059743782"/>
                  <c:y val="-4.5155555555555581E-2"/>
                </c:manualLayout>
              </c:layout>
              <c:showLegendKey val="0"/>
              <c:showVal val="1"/>
              <c:showCatName val="0"/>
              <c:showSerName val="0"/>
              <c:showPercent val="0"/>
              <c:showBubbleSize val="0"/>
              <c:extLst>
                <c:ext xmlns:c15="http://schemas.microsoft.com/office/drawing/2012/chart" uri="{CE6537A1-D6FC-4f65-9D91-7224C49458BB}">
                  <c15:layout>
                    <c:manualLayout>
                      <c:w val="0.24399515512904127"/>
                      <c:h val="0.16308975232273407"/>
                    </c:manualLayout>
                  </c15:layout>
                </c:ext>
                <c:ext xmlns:c16="http://schemas.microsoft.com/office/drawing/2014/chart" uri="{C3380CC4-5D6E-409C-BE32-E72D297353CC}">
                  <c16:uniqueId val="{00000001-8EC2-4C1F-823B-20F2885FA77E}"/>
                </c:ext>
              </c:extLst>
            </c:dLbl>
            <c:dLbl>
              <c:idx val="1"/>
              <c:layout>
                <c:manualLayout>
                  <c:x val="0.23325353982599456"/>
                  <c:y val="0"/>
                </c:manualLayout>
              </c:layout>
              <c:showLegendKey val="0"/>
              <c:showVal val="1"/>
              <c:showCatName val="0"/>
              <c:showSerName val="0"/>
              <c:showPercent val="0"/>
              <c:showBubbleSize val="0"/>
              <c:extLst>
                <c:ext xmlns:c15="http://schemas.microsoft.com/office/drawing/2012/chart" uri="{CE6537A1-D6FC-4f65-9D91-7224C49458BB}">
                  <c15:layout>
                    <c:manualLayout>
                      <c:w val="0.24743738512489094"/>
                      <c:h val="0.16308975232273407"/>
                    </c:manualLayout>
                  </c15:layout>
                </c:ext>
                <c:ext xmlns:c16="http://schemas.microsoft.com/office/drawing/2014/chart" uri="{C3380CC4-5D6E-409C-BE32-E72D297353CC}">
                  <c16:uniqueId val="{00000003-8EC2-4C1F-823B-20F2885FA77E}"/>
                </c:ext>
              </c:extLst>
            </c:dLbl>
            <c:dLbl>
              <c:idx val="2"/>
              <c:layout>
                <c:manualLayout>
                  <c:x val="-5.2786778671926812E-3"/>
                  <c:y val="-9.2967622801543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17511996320049"/>
                      <c:h val="9.3879381500545395E-2"/>
                    </c:manualLayout>
                  </c15:layout>
                </c:ext>
                <c:ext xmlns:c16="http://schemas.microsoft.com/office/drawing/2014/chart" uri="{C3380CC4-5D6E-409C-BE32-E72D297353CC}">
                  <c16:uniqueId val="{00000005-8EC2-4C1F-823B-20F2885FA77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Sheet1!$A$66:$A$68</c:f>
              <c:strCache>
                <c:ptCount val="3"/>
                <c:pt idx="0">
                  <c:v>High</c:v>
                </c:pt>
                <c:pt idx="1">
                  <c:v>Medium</c:v>
                </c:pt>
                <c:pt idx="2">
                  <c:v>Small</c:v>
                </c:pt>
              </c:strCache>
            </c:strRef>
          </c:cat>
          <c:val>
            <c:numRef>
              <c:f>Sheet1!$B$66:$B$68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EC2-4C1F-823B-20F2885FA77E}"/>
            </c:ext>
          </c:extLst>
        </c:ser>
        <c:dLbls>
          <c:showLegendKey val="0"/>
          <c:showVal val="1"/>
          <c:showCatName val="0"/>
          <c:showSerName val="0"/>
          <c:showPercent val="0"/>
          <c:showBubbleSize val="0"/>
          <c:showLeaderLines val="0"/>
        </c:dLbls>
        <c:firstSliceAng val="0"/>
        <c:holeSize val="77"/>
      </c:doughnutChart>
      <c:spPr>
        <a:noFill/>
        <a:ln>
          <a:noFill/>
        </a:ln>
        <a:effectLst/>
      </c:spPr>
    </c:plotArea>
    <c:legend>
      <c:legendPos val="t"/>
      <c:layout>
        <c:manualLayout>
          <c:xMode val="edge"/>
          <c:yMode val="edge"/>
          <c:x val="0.15513613934911796"/>
          <c:y val="5.9764312141002366E-3"/>
          <c:w val="0.70050616238273145"/>
          <c:h val="5.8869259214292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852990767523599"/>
          <c:y val="4.8861574074074071E-2"/>
          <c:w val="0.46464081665458196"/>
          <c:h val="0.86111944444444455"/>
        </c:manualLayout>
      </c:layout>
      <c:barChart>
        <c:barDir val="bar"/>
        <c:grouping val="clustered"/>
        <c:varyColors val="0"/>
        <c:ser>
          <c:idx val="0"/>
          <c:order val="0"/>
          <c:tx>
            <c:strRef>
              <c:f>Sheet1!$J$13</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Sheet1!$I$14:$I$17</c:f>
              <c:strCache>
                <c:ptCount val="4"/>
                <c:pt idx="0">
                  <c:v>Grocery Store</c:v>
                </c:pt>
                <c:pt idx="1">
                  <c:v>Supermarket Type3</c:v>
                </c:pt>
                <c:pt idx="2">
                  <c:v>Supermarket Type2</c:v>
                </c:pt>
                <c:pt idx="3">
                  <c:v>Supermarket Type1</c:v>
                </c:pt>
              </c:strCache>
            </c:strRef>
          </c:cat>
          <c:val>
            <c:numRef>
              <c:f>Sheet1!$J$14:$J$17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DFB4-465B-B6D3-ED5B0AA4948E}"/>
            </c:ext>
          </c:extLst>
        </c:ser>
        <c:dLbls>
          <c:dLblPos val="outEnd"/>
          <c:showLegendKey val="0"/>
          <c:showVal val="1"/>
          <c:showCatName val="0"/>
          <c:showSerName val="0"/>
          <c:showPercent val="0"/>
          <c:showBubbleSize val="0"/>
        </c:dLbls>
        <c:gapWidth val="60"/>
        <c:axId val="2030164111"/>
        <c:axId val="2030168431"/>
      </c:barChart>
      <c:catAx>
        <c:axId val="2030164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68431"/>
        <c:crosses val="autoZero"/>
        <c:auto val="1"/>
        <c:lblAlgn val="ctr"/>
        <c:lblOffset val="100"/>
        <c:noMultiLvlLbl val="0"/>
      </c:catAx>
      <c:valAx>
        <c:axId val="2030168431"/>
        <c:scaling>
          <c:orientation val="minMax"/>
        </c:scaling>
        <c:delete val="1"/>
        <c:axPos val="b"/>
        <c:numFmt formatCode="\$0.0,&quot;K&quot;" sourceLinked="1"/>
        <c:majorTickMark val="out"/>
        <c:minorTickMark val="none"/>
        <c:tickLblPos val="nextTo"/>
        <c:crossAx val="203016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Excel.xlsx]Sheet1!PivotTable9</c:name>
    <c:fmtId val="2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6.3612594291896654E-2"/>
          <c:y val="4.6097549466715133E-2"/>
          <c:w val="0.84450254728647489"/>
          <c:h val="0.90121953685703904"/>
        </c:manualLayout>
      </c:layout>
      <c:barChart>
        <c:barDir val="bar"/>
        <c:grouping val="clustered"/>
        <c:varyColors val="0"/>
        <c:ser>
          <c:idx val="0"/>
          <c:order val="0"/>
          <c:tx>
            <c:strRef>
              <c:f>Sheet1!$J$21</c:f>
              <c:strCache>
                <c:ptCount val="1"/>
                <c:pt idx="0">
                  <c:v>Total</c:v>
                </c:pt>
              </c:strCache>
            </c:strRef>
          </c:tx>
          <c:spPr>
            <a:solidFill>
              <a:schemeClr val="accent6">
                <a:lumMod val="75000"/>
              </a:schemeClr>
            </a:solidFill>
            <a:ln>
              <a:noFill/>
            </a:ln>
            <a:effectLst/>
          </c:spPr>
          <c:invertIfNegative val="0"/>
          <c:dLbls>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Sheet1!$I$22:$I$25</c:f>
              <c:strCache>
                <c:ptCount val="4"/>
                <c:pt idx="0">
                  <c:v>Grocery Store</c:v>
                </c:pt>
                <c:pt idx="1">
                  <c:v>Supermarket Type3</c:v>
                </c:pt>
                <c:pt idx="2">
                  <c:v>Supermarket Type2</c:v>
                </c:pt>
                <c:pt idx="3">
                  <c:v>Supermarket Type1</c:v>
                </c:pt>
              </c:strCache>
            </c:strRef>
          </c:cat>
          <c:val>
            <c:numRef>
              <c:f>Sheet1!$J$22:$J$25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D4A2-49EF-B060-7FD889455D46}"/>
            </c:ext>
          </c:extLst>
        </c:ser>
        <c:dLbls>
          <c:showLegendKey val="0"/>
          <c:showVal val="0"/>
          <c:showCatName val="0"/>
          <c:showSerName val="0"/>
          <c:showPercent val="0"/>
          <c:showBubbleSize val="0"/>
        </c:dLbls>
        <c:gapWidth val="60"/>
        <c:axId val="1969777999"/>
        <c:axId val="1969780399"/>
      </c:barChart>
      <c:catAx>
        <c:axId val="1969777999"/>
        <c:scaling>
          <c:orientation val="minMax"/>
        </c:scaling>
        <c:delete val="1"/>
        <c:axPos val="l"/>
        <c:numFmt formatCode="General" sourceLinked="1"/>
        <c:majorTickMark val="none"/>
        <c:minorTickMark val="none"/>
        <c:tickLblPos val="nextTo"/>
        <c:crossAx val="1969780399"/>
        <c:crosses val="autoZero"/>
        <c:auto val="1"/>
        <c:lblAlgn val="ctr"/>
        <c:lblOffset val="100"/>
        <c:noMultiLvlLbl val="0"/>
      </c:catAx>
      <c:valAx>
        <c:axId val="1969780399"/>
        <c:scaling>
          <c:orientation val="minMax"/>
        </c:scaling>
        <c:delete val="1"/>
        <c:axPos val="b"/>
        <c:numFmt formatCode="\$0" sourceLinked="1"/>
        <c:majorTickMark val="none"/>
        <c:minorTickMark val="none"/>
        <c:tickLblPos val="nextTo"/>
        <c:crossAx val="1969777999"/>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Excel.xlsx]Sheet1!PivotTable10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37353844826602E-2"/>
          <c:y val="2.5468347799224897E-2"/>
          <c:w val="0.75474071947706889"/>
          <c:h val="0.96960841372821815"/>
        </c:manualLayout>
      </c:layout>
      <c:barChart>
        <c:barDir val="bar"/>
        <c:grouping val="clustered"/>
        <c:varyColors val="0"/>
        <c:ser>
          <c:idx val="0"/>
          <c:order val="0"/>
          <c:tx>
            <c:strRef>
              <c:f>Sheet1!$J$32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Sheet1!$I$33:$I$36</c:f>
              <c:strCache>
                <c:ptCount val="4"/>
                <c:pt idx="0">
                  <c:v>Grocery Store</c:v>
                </c:pt>
                <c:pt idx="1">
                  <c:v>Supermarket Type3</c:v>
                </c:pt>
                <c:pt idx="2">
                  <c:v>Supermarket Type2</c:v>
                </c:pt>
                <c:pt idx="3">
                  <c:v>Supermarket Type1</c:v>
                </c:pt>
              </c:strCache>
            </c:strRef>
          </c:cat>
          <c:val>
            <c:numRef>
              <c:f>Sheet1!$J$33:$J$36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A214-4E23-A057-17465599D836}"/>
            </c:ext>
          </c:extLst>
        </c:ser>
        <c:dLbls>
          <c:showLegendKey val="0"/>
          <c:showVal val="0"/>
          <c:showCatName val="0"/>
          <c:showSerName val="0"/>
          <c:showPercent val="0"/>
          <c:showBubbleSize val="0"/>
        </c:dLbls>
        <c:gapWidth val="60"/>
        <c:axId val="160672175"/>
        <c:axId val="160672655"/>
      </c:barChart>
      <c:catAx>
        <c:axId val="160672175"/>
        <c:scaling>
          <c:orientation val="minMax"/>
        </c:scaling>
        <c:delete val="1"/>
        <c:axPos val="l"/>
        <c:numFmt formatCode="General" sourceLinked="1"/>
        <c:majorTickMark val="none"/>
        <c:minorTickMark val="none"/>
        <c:tickLblPos val="nextTo"/>
        <c:crossAx val="160672655"/>
        <c:crosses val="autoZero"/>
        <c:auto val="1"/>
        <c:lblAlgn val="ctr"/>
        <c:lblOffset val="100"/>
        <c:noMultiLvlLbl val="0"/>
      </c:catAx>
      <c:valAx>
        <c:axId val="160672655"/>
        <c:scaling>
          <c:orientation val="minMax"/>
        </c:scaling>
        <c:delete val="1"/>
        <c:axPos val="b"/>
        <c:numFmt formatCode="0" sourceLinked="1"/>
        <c:majorTickMark val="none"/>
        <c:minorTickMark val="none"/>
        <c:tickLblPos val="nextTo"/>
        <c:crossAx val="16067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CAC791E0-3296-41ED-B001-A1C80199ED49}">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AC791E0-3296-41ED-B001-A1C80199ED49}">
          <cx:tx>
            <cx:txData>
              <cx:f>_xlchart.v2.4</cx:f>
              <cx:v>Sum of 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8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16</xdr:col>
      <xdr:colOff>624840</xdr:colOff>
      <xdr:row>63</xdr:row>
      <xdr:rowOff>114300</xdr:rowOff>
    </xdr:from>
    <xdr:to>
      <xdr:col>19</xdr:col>
      <xdr:colOff>457200</xdr:colOff>
      <xdr:row>72</xdr:row>
      <xdr:rowOff>91439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8E349E4-7A9A-6945-7669-7FD7F3CA715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4180820" y="12839700"/>
              <a:ext cx="184404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21</xdr:row>
      <xdr:rowOff>7620</xdr:rowOff>
    </xdr:from>
    <xdr:to>
      <xdr:col>5</xdr:col>
      <xdr:colOff>617220</xdr:colOff>
      <xdr:row>25</xdr:row>
      <xdr:rowOff>190500</xdr:rowOff>
    </xdr:to>
    <xdr:graphicFrame macro="">
      <xdr:nvGraphicFramePr>
        <xdr:cNvPr id="5" name="Chart 4">
          <a:extLst>
            <a:ext uri="{FF2B5EF4-FFF2-40B4-BE49-F238E27FC236}">
              <a16:creationId xmlns:a16="http://schemas.microsoft.com/office/drawing/2014/main" id="{BCA4D125-9BDC-CA9A-E426-D91F7A234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10</xdr:row>
      <xdr:rowOff>0</xdr:rowOff>
    </xdr:from>
    <xdr:to>
      <xdr:col>5</xdr:col>
      <xdr:colOff>640080</xdr:colOff>
      <xdr:row>18</xdr:row>
      <xdr:rowOff>0</xdr:rowOff>
    </xdr:to>
    <xdr:graphicFrame macro="">
      <xdr:nvGraphicFramePr>
        <xdr:cNvPr id="8" name="Chart 7">
          <a:extLst>
            <a:ext uri="{FF2B5EF4-FFF2-40B4-BE49-F238E27FC236}">
              <a16:creationId xmlns:a16="http://schemas.microsoft.com/office/drawing/2014/main" id="{369C1870-A19A-A0E0-FB40-CC0DDE7AD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xdr:colOff>
      <xdr:row>31</xdr:row>
      <xdr:rowOff>34290</xdr:rowOff>
    </xdr:from>
    <xdr:to>
      <xdr:col>5</xdr:col>
      <xdr:colOff>640080</xdr:colOff>
      <xdr:row>47</xdr:row>
      <xdr:rowOff>175260</xdr:rowOff>
    </xdr:to>
    <xdr:graphicFrame macro="">
      <xdr:nvGraphicFramePr>
        <xdr:cNvPr id="9" name="Chart 8">
          <a:extLst>
            <a:ext uri="{FF2B5EF4-FFF2-40B4-BE49-F238E27FC236}">
              <a16:creationId xmlns:a16="http://schemas.microsoft.com/office/drawing/2014/main" id="{162CAE23-FFB2-CA3E-6A52-419BC8F7B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xdr:colOff>
      <xdr:row>51</xdr:row>
      <xdr:rowOff>7620</xdr:rowOff>
    </xdr:from>
    <xdr:to>
      <xdr:col>5</xdr:col>
      <xdr:colOff>655320</xdr:colOff>
      <xdr:row>60</xdr:row>
      <xdr:rowOff>198120</xdr:rowOff>
    </xdr:to>
    <xdr:graphicFrame macro="">
      <xdr:nvGraphicFramePr>
        <xdr:cNvPr id="11" name="Chart 10">
          <a:extLst>
            <a:ext uri="{FF2B5EF4-FFF2-40B4-BE49-F238E27FC236}">
              <a16:creationId xmlns:a16="http://schemas.microsoft.com/office/drawing/2014/main" id="{E71E46DE-BC6D-9B37-6380-A211AF8F0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243840</xdr:colOff>
      <xdr:row>63</xdr:row>
      <xdr:rowOff>182880</xdr:rowOff>
    </xdr:from>
    <xdr:to>
      <xdr:col>5</xdr:col>
      <xdr:colOff>220980</xdr:colOff>
      <xdr:row>73</xdr:row>
      <xdr:rowOff>198120</xdr:rowOff>
    </xdr:to>
    <xdr:graphicFrame macro="">
      <xdr:nvGraphicFramePr>
        <xdr:cNvPr id="4" name="Chart 3">
          <a:extLst>
            <a:ext uri="{FF2B5EF4-FFF2-40B4-BE49-F238E27FC236}">
              <a16:creationId xmlns:a16="http://schemas.microsoft.com/office/drawing/2014/main" id="{39873521-33B1-6F4D-B9EE-F3479EE7B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243840</xdr:colOff>
      <xdr:row>1</xdr:row>
      <xdr:rowOff>11430</xdr:rowOff>
    </xdr:from>
    <xdr:to>
      <xdr:col>16</xdr:col>
      <xdr:colOff>419100</xdr:colOff>
      <xdr:row>9</xdr:row>
      <xdr:rowOff>99060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03A417C-1E41-8900-E996-78978873E2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788140" y="217170"/>
              <a:ext cx="2186940" cy="1733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xdr:colOff>
      <xdr:row>11</xdr:row>
      <xdr:rowOff>171450</xdr:rowOff>
    </xdr:from>
    <xdr:to>
      <xdr:col>14</xdr:col>
      <xdr:colOff>53340</xdr:colOff>
      <xdr:row>18</xdr:row>
      <xdr:rowOff>99060</xdr:rowOff>
    </xdr:to>
    <xdr:graphicFrame macro="">
      <xdr:nvGraphicFramePr>
        <xdr:cNvPr id="7" name="Chart 6">
          <a:extLst>
            <a:ext uri="{FF2B5EF4-FFF2-40B4-BE49-F238E27FC236}">
              <a16:creationId xmlns:a16="http://schemas.microsoft.com/office/drawing/2014/main" id="{010C8E9E-D696-4217-CEE7-616BFA054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7620</xdr:colOff>
      <xdr:row>19</xdr:row>
      <xdr:rowOff>190500</xdr:rowOff>
    </xdr:from>
    <xdr:to>
      <xdr:col>13</xdr:col>
      <xdr:colOff>640080</xdr:colOff>
      <xdr:row>28</xdr:row>
      <xdr:rowOff>121920</xdr:rowOff>
    </xdr:to>
    <xdr:graphicFrame macro="">
      <xdr:nvGraphicFramePr>
        <xdr:cNvPr id="10" name="Chart 9">
          <a:extLst>
            <a:ext uri="{FF2B5EF4-FFF2-40B4-BE49-F238E27FC236}">
              <a16:creationId xmlns:a16="http://schemas.microsoft.com/office/drawing/2014/main" id="{13FD3006-C0E0-8B99-8166-839F06522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45720</xdr:colOff>
      <xdr:row>30</xdr:row>
      <xdr:rowOff>175260</xdr:rowOff>
    </xdr:from>
    <xdr:to>
      <xdr:col>14</xdr:col>
      <xdr:colOff>0</xdr:colOff>
      <xdr:row>38</xdr:row>
      <xdr:rowOff>152400</xdr:rowOff>
    </xdr:to>
    <xdr:graphicFrame macro="">
      <xdr:nvGraphicFramePr>
        <xdr:cNvPr id="12" name="Chart 11">
          <a:extLst>
            <a:ext uri="{FF2B5EF4-FFF2-40B4-BE49-F238E27FC236}">
              <a16:creationId xmlns:a16="http://schemas.microsoft.com/office/drawing/2014/main" id="{37E7D6EB-1844-9A94-5641-B30DC3B58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556260</xdr:colOff>
      <xdr:row>1</xdr:row>
      <xdr:rowOff>53340</xdr:rowOff>
    </xdr:from>
    <xdr:to>
      <xdr:col>7</xdr:col>
      <xdr:colOff>426062</xdr:colOff>
      <xdr:row>7</xdr:row>
      <xdr:rowOff>80982</xdr:rowOff>
    </xdr:to>
    <mc:AlternateContent xmlns:mc="http://schemas.openxmlformats.org/markup-compatibility/2006" xmlns:a14="http://schemas.microsoft.com/office/drawing/2010/main">
      <mc:Choice Requires="a14">
        <xdr:graphicFrame macro="">
          <xdr:nvGraphicFramePr>
            <xdr:cNvPr id="16" name="Outlet Size 2">
              <a:extLst>
                <a:ext uri="{FF2B5EF4-FFF2-40B4-BE49-F238E27FC236}">
                  <a16:creationId xmlns:a16="http://schemas.microsoft.com/office/drawing/2014/main" id="{C298D765-C829-4189-B86C-3612E9E0D0A1}"/>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4785360" y="259080"/>
              <a:ext cx="1881482" cy="1262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465522</xdr:colOff>
      <xdr:row>0</xdr:row>
      <xdr:rowOff>12307</xdr:rowOff>
    </xdr:from>
    <xdr:to>
      <xdr:col>23</xdr:col>
      <xdr:colOff>473202</xdr:colOff>
      <xdr:row>39</xdr:row>
      <xdr:rowOff>94655</xdr:rowOff>
    </xdr:to>
    <xdr:sp macro="" textlink="">
      <xdr:nvSpPr>
        <xdr:cNvPr id="2" name="Rectangle 1">
          <a:extLst>
            <a:ext uri="{FF2B5EF4-FFF2-40B4-BE49-F238E27FC236}">
              <a16:creationId xmlns:a16="http://schemas.microsoft.com/office/drawing/2014/main" id="{EAB2FCC3-249E-1D3A-C8CD-7B780B35B5D7}"/>
            </a:ext>
          </a:extLst>
        </xdr:cNvPr>
        <xdr:cNvSpPr/>
      </xdr:nvSpPr>
      <xdr:spPr>
        <a:xfrm>
          <a:off x="1133448" y="12307"/>
          <a:ext cx="14702050" cy="77870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37169</xdr:colOff>
      <xdr:row>0</xdr:row>
      <xdr:rowOff>73313</xdr:rowOff>
    </xdr:from>
    <xdr:to>
      <xdr:col>4</xdr:col>
      <xdr:colOff>622609</xdr:colOff>
      <xdr:row>38</xdr:row>
      <xdr:rowOff>133350</xdr:rowOff>
    </xdr:to>
    <xdr:sp macro="" textlink="">
      <xdr:nvSpPr>
        <xdr:cNvPr id="3" name="Rectangle: Top Corners Rounded 2">
          <a:extLst>
            <a:ext uri="{FF2B5EF4-FFF2-40B4-BE49-F238E27FC236}">
              <a16:creationId xmlns:a16="http://schemas.microsoft.com/office/drawing/2014/main" id="{643318D0-25B0-9D15-59E6-4E966C06481C}"/>
            </a:ext>
          </a:extLst>
        </xdr:cNvPr>
        <xdr:cNvSpPr/>
      </xdr:nvSpPr>
      <xdr:spPr>
        <a:xfrm rot="16200000" flipV="1">
          <a:off x="-1500355" y="2944337"/>
          <a:ext cx="7660987" cy="191894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74342</xdr:colOff>
      <xdr:row>1</xdr:row>
      <xdr:rowOff>176562</xdr:rowOff>
    </xdr:from>
    <xdr:to>
      <xdr:col>4</xdr:col>
      <xdr:colOff>548267</xdr:colOff>
      <xdr:row>4</xdr:row>
      <xdr:rowOff>46464</xdr:rowOff>
    </xdr:to>
    <xdr:sp macro="" textlink="">
      <xdr:nvSpPr>
        <xdr:cNvPr id="4" name="TextBox 3">
          <a:extLst>
            <a:ext uri="{FF2B5EF4-FFF2-40B4-BE49-F238E27FC236}">
              <a16:creationId xmlns:a16="http://schemas.microsoft.com/office/drawing/2014/main" id="{E2AE56DF-F0EB-A2CF-457E-32922D78983B}"/>
            </a:ext>
          </a:extLst>
        </xdr:cNvPr>
        <xdr:cNvSpPr txBox="1"/>
      </xdr:nvSpPr>
      <xdr:spPr>
        <a:xfrm>
          <a:off x="1412488" y="371708"/>
          <a:ext cx="1812072" cy="455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Segoe UI Black" panose="020B0A02040204020203" pitchFamily="34" charset="0"/>
              <a:ea typeface="Segoe UI Black" panose="020B0A02040204020203" pitchFamily="34" charset="0"/>
            </a:rPr>
            <a:t>blink</a:t>
          </a:r>
          <a:r>
            <a:rPr lang="en-IN" sz="28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148684</xdr:colOff>
      <xdr:row>3</xdr:row>
      <xdr:rowOff>139391</xdr:rowOff>
    </xdr:from>
    <xdr:to>
      <xdr:col>4</xdr:col>
      <xdr:colOff>455340</xdr:colOff>
      <xdr:row>5</xdr:row>
      <xdr:rowOff>46464</xdr:rowOff>
    </xdr:to>
    <xdr:sp macro="" textlink="">
      <xdr:nvSpPr>
        <xdr:cNvPr id="5" name="TextBox 4">
          <a:extLst>
            <a:ext uri="{FF2B5EF4-FFF2-40B4-BE49-F238E27FC236}">
              <a16:creationId xmlns:a16="http://schemas.microsoft.com/office/drawing/2014/main" id="{EC0B0534-28B4-3073-E6F1-57795EB34516}"/>
            </a:ext>
          </a:extLst>
        </xdr:cNvPr>
        <xdr:cNvSpPr txBox="1"/>
      </xdr:nvSpPr>
      <xdr:spPr>
        <a:xfrm>
          <a:off x="1486830" y="724830"/>
          <a:ext cx="1644803" cy="2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latin typeface="Aptos Display" panose="020B0004020202020204" pitchFamily="34" charset="0"/>
            </a:rPr>
            <a:t>India's</a:t>
          </a:r>
          <a:r>
            <a:rPr lang="en-IN" sz="1100" b="1" i="0" baseline="0">
              <a:latin typeface="Aptos Display" panose="020B0004020202020204" pitchFamily="34" charset="0"/>
            </a:rPr>
            <a:t> Last Minute App</a:t>
          </a:r>
          <a:endParaRPr lang="en-IN" sz="1100" b="1" i="0">
            <a:latin typeface="Aptos Display" panose="020B0004020202020204" pitchFamily="34" charset="0"/>
          </a:endParaRPr>
        </a:p>
      </xdr:txBody>
    </xdr:sp>
    <xdr:clientData/>
  </xdr:twoCellAnchor>
  <xdr:twoCellAnchor>
    <xdr:from>
      <xdr:col>5</xdr:col>
      <xdr:colOff>206964</xdr:colOff>
      <xdr:row>0</xdr:row>
      <xdr:rowOff>73768</xdr:rowOff>
    </xdr:from>
    <xdr:to>
      <xdr:col>14</xdr:col>
      <xdr:colOff>0</xdr:colOff>
      <xdr:row>10</xdr:row>
      <xdr:rowOff>169334</xdr:rowOff>
    </xdr:to>
    <xdr:grpSp>
      <xdr:nvGrpSpPr>
        <xdr:cNvPr id="10" name="Group 9">
          <a:extLst>
            <a:ext uri="{FF2B5EF4-FFF2-40B4-BE49-F238E27FC236}">
              <a16:creationId xmlns:a16="http://schemas.microsoft.com/office/drawing/2014/main" id="{ACE01342-C38C-016C-2729-452B0EDB9059}"/>
            </a:ext>
          </a:extLst>
        </xdr:cNvPr>
        <xdr:cNvGrpSpPr/>
      </xdr:nvGrpSpPr>
      <xdr:grpSpPr>
        <a:xfrm>
          <a:off x="3540714" y="73768"/>
          <a:ext cx="5793786" cy="2095816"/>
          <a:chOff x="3614853" y="167267"/>
          <a:chExt cx="5709659" cy="2283528"/>
        </a:xfrm>
      </xdr:grpSpPr>
      <xdr:sp macro="" textlink="">
        <xdr:nvSpPr>
          <xdr:cNvPr id="6" name="Rectangle: Rounded Corners 5">
            <a:extLst>
              <a:ext uri="{FF2B5EF4-FFF2-40B4-BE49-F238E27FC236}">
                <a16:creationId xmlns:a16="http://schemas.microsoft.com/office/drawing/2014/main" id="{475A13EE-0B41-B1DE-13E3-A0F595ADD95C}"/>
              </a:ext>
            </a:extLst>
          </xdr:cNvPr>
          <xdr:cNvSpPr/>
        </xdr:nvSpPr>
        <xdr:spPr>
          <a:xfrm>
            <a:off x="3614853" y="167267"/>
            <a:ext cx="2736000" cy="1047600"/>
          </a:xfrm>
          <a:prstGeom prst="roundRect">
            <a:avLst>
              <a:gd name="adj" fmla="val 11345"/>
            </a:avLst>
          </a:prstGeom>
          <a:gradFill flip="none" rotWithShape="1">
            <a:gsLst>
              <a:gs pos="52000">
                <a:schemeClr val="accent6">
                  <a:lumMod val="75000"/>
                  <a:alpha val="45000"/>
                </a:schemeClr>
              </a:gs>
              <a:gs pos="0">
                <a:srgbClr val="FFD200">
                  <a:alpha val="60000"/>
                </a:srgb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878F982-B059-4931-AA2C-7E0E2D3CF77C}"/>
              </a:ext>
            </a:extLst>
          </xdr:cNvPr>
          <xdr:cNvSpPr/>
        </xdr:nvSpPr>
        <xdr:spPr>
          <a:xfrm>
            <a:off x="6588512" y="167267"/>
            <a:ext cx="2736000" cy="1047600"/>
          </a:xfrm>
          <a:prstGeom prst="roundRect">
            <a:avLst>
              <a:gd name="adj" fmla="val 10458"/>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A858A41-C1B7-445D-AD75-0481326F89F0}"/>
              </a:ext>
            </a:extLst>
          </xdr:cNvPr>
          <xdr:cNvSpPr/>
        </xdr:nvSpPr>
        <xdr:spPr>
          <a:xfrm>
            <a:off x="3614853" y="1403195"/>
            <a:ext cx="2736000" cy="1047600"/>
          </a:xfrm>
          <a:prstGeom prst="roundRect">
            <a:avLst>
              <a:gd name="adj" fmla="val 10457"/>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4B6534E-3ACF-4B86-BC6A-826F97B2A037}"/>
              </a:ext>
            </a:extLst>
          </xdr:cNvPr>
          <xdr:cNvSpPr/>
        </xdr:nvSpPr>
        <xdr:spPr>
          <a:xfrm>
            <a:off x="6588512" y="1403195"/>
            <a:ext cx="2736000" cy="1047600"/>
          </a:xfrm>
          <a:prstGeom prst="roundRect">
            <a:avLst>
              <a:gd name="adj" fmla="val 11345"/>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2</xdr:col>
      <xdr:colOff>65851</xdr:colOff>
      <xdr:row>7</xdr:row>
      <xdr:rowOff>111399</xdr:rowOff>
    </xdr:from>
    <xdr:to>
      <xdr:col>4</xdr:col>
      <xdr:colOff>611481</xdr:colOff>
      <xdr:row>13</xdr:row>
      <xdr:rowOff>188148</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DCDEE6DF-6355-4B43-9A45-F4A239F93B8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01703" y="1494288"/>
              <a:ext cx="1881482" cy="1262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390294</xdr:colOff>
      <xdr:row>3</xdr:row>
      <xdr:rowOff>178282</xdr:rowOff>
    </xdr:from>
    <xdr:to>
      <xdr:col>8</xdr:col>
      <xdr:colOff>27879</xdr:colOff>
      <xdr:row>5</xdr:row>
      <xdr:rowOff>45774</xdr:rowOff>
    </xdr:to>
    <xdr:sp macro="" textlink="">
      <xdr:nvSpPr>
        <xdr:cNvPr id="13" name="TextBox 12">
          <a:extLst>
            <a:ext uri="{FF2B5EF4-FFF2-40B4-BE49-F238E27FC236}">
              <a16:creationId xmlns:a16="http://schemas.microsoft.com/office/drawing/2014/main" id="{0C1614BF-95FE-DF35-5647-39A51D1E13D1}"/>
            </a:ext>
          </a:extLst>
        </xdr:cNvPr>
        <xdr:cNvSpPr txBox="1"/>
      </xdr:nvSpPr>
      <xdr:spPr>
        <a:xfrm>
          <a:off x="3729924" y="770949"/>
          <a:ext cx="1641362" cy="262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SALES</a:t>
          </a:r>
          <a:endParaRPr lang="en-IN" sz="1200" b="1"/>
        </a:p>
      </xdr:txBody>
    </xdr:sp>
    <xdr:clientData/>
  </xdr:twoCellAnchor>
  <xdr:twoCellAnchor>
    <xdr:from>
      <xdr:col>9</xdr:col>
      <xdr:colOff>632936</xdr:colOff>
      <xdr:row>3</xdr:row>
      <xdr:rowOff>75259</xdr:rowOff>
    </xdr:from>
    <xdr:to>
      <xdr:col>12</xdr:col>
      <xdr:colOff>169334</xdr:colOff>
      <xdr:row>5</xdr:row>
      <xdr:rowOff>56444</xdr:rowOff>
    </xdr:to>
    <xdr:sp macro="" textlink="">
      <xdr:nvSpPr>
        <xdr:cNvPr id="16" name="TextBox 15">
          <a:extLst>
            <a:ext uri="{FF2B5EF4-FFF2-40B4-BE49-F238E27FC236}">
              <a16:creationId xmlns:a16="http://schemas.microsoft.com/office/drawing/2014/main" id="{623A3990-B269-40E8-8464-E2F46EED7140}"/>
            </a:ext>
          </a:extLst>
        </xdr:cNvPr>
        <xdr:cNvSpPr txBox="1"/>
      </xdr:nvSpPr>
      <xdr:spPr>
        <a:xfrm>
          <a:off x="6644269" y="667926"/>
          <a:ext cx="1540176" cy="37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AVG SALES</a:t>
          </a:r>
          <a:endParaRPr lang="en-IN" sz="1200" b="1"/>
        </a:p>
      </xdr:txBody>
    </xdr:sp>
    <xdr:clientData/>
  </xdr:twoCellAnchor>
  <xdr:twoCellAnchor>
    <xdr:from>
      <xdr:col>5</xdr:col>
      <xdr:colOff>575116</xdr:colOff>
      <xdr:row>1</xdr:row>
      <xdr:rowOff>16520</xdr:rowOff>
    </xdr:from>
    <xdr:to>
      <xdr:col>8</xdr:col>
      <xdr:colOff>272815</xdr:colOff>
      <xdr:row>3</xdr:row>
      <xdr:rowOff>93270</xdr:rowOff>
    </xdr:to>
    <xdr:sp macro="" textlink="Sheet1!A7">
      <xdr:nvSpPr>
        <xdr:cNvPr id="11" name="TextBox 10">
          <a:extLst>
            <a:ext uri="{FF2B5EF4-FFF2-40B4-BE49-F238E27FC236}">
              <a16:creationId xmlns:a16="http://schemas.microsoft.com/office/drawing/2014/main" id="{A90408D4-FCFA-20FA-8E6C-A6F232B0E19E}"/>
            </a:ext>
          </a:extLst>
        </xdr:cNvPr>
        <xdr:cNvSpPr txBox="1"/>
      </xdr:nvSpPr>
      <xdr:spPr>
        <a:xfrm>
          <a:off x="3914746" y="214076"/>
          <a:ext cx="1701476" cy="471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946212-4289-4DEF-872F-0CBAAE80CBA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$36.3M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241609</xdr:colOff>
      <xdr:row>0</xdr:row>
      <xdr:rowOff>162393</xdr:rowOff>
    </xdr:from>
    <xdr:to>
      <xdr:col>12</xdr:col>
      <xdr:colOff>613317</xdr:colOff>
      <xdr:row>3</xdr:row>
      <xdr:rowOff>50880</xdr:rowOff>
    </xdr:to>
    <xdr:sp macro="" textlink="Sheet1!B7">
      <xdr:nvSpPr>
        <xdr:cNvPr id="15" name="TextBox 14">
          <a:extLst>
            <a:ext uri="{FF2B5EF4-FFF2-40B4-BE49-F238E27FC236}">
              <a16:creationId xmlns:a16="http://schemas.microsoft.com/office/drawing/2014/main" id="{F3A18C5E-E4EA-8945-9570-7557886D6C85}"/>
            </a:ext>
          </a:extLst>
        </xdr:cNvPr>
        <xdr:cNvSpPr txBox="1"/>
      </xdr:nvSpPr>
      <xdr:spPr>
        <a:xfrm>
          <a:off x="6920868" y="162393"/>
          <a:ext cx="1707560" cy="481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5B81F2-BDF8-43C2-9259-E7DD2A8F877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353808</xdr:colOff>
      <xdr:row>6</xdr:row>
      <xdr:rowOff>16750</xdr:rowOff>
    </xdr:from>
    <xdr:to>
      <xdr:col>11</xdr:col>
      <xdr:colOff>404519</xdr:colOff>
      <xdr:row>8</xdr:row>
      <xdr:rowOff>102794</xdr:rowOff>
    </xdr:to>
    <xdr:sp macro="" textlink="Sheet1!C7">
      <xdr:nvSpPr>
        <xdr:cNvPr id="14" name="TextBox 13">
          <a:extLst>
            <a:ext uri="{FF2B5EF4-FFF2-40B4-BE49-F238E27FC236}">
              <a16:creationId xmlns:a16="http://schemas.microsoft.com/office/drawing/2014/main" id="{6C038F2F-79EA-4082-A2DD-54BD2FDD38C9}"/>
            </a:ext>
          </a:extLst>
        </xdr:cNvPr>
        <xdr:cNvSpPr txBox="1"/>
      </xdr:nvSpPr>
      <xdr:spPr>
        <a:xfrm>
          <a:off x="7033067" y="1202083"/>
          <a:ext cx="718637" cy="48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62A12B-BDF1-4A5D-9479-1DBE688B97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0</xdr:colOff>
      <xdr:row>6</xdr:row>
      <xdr:rowOff>28224</xdr:rowOff>
    </xdr:from>
    <xdr:to>
      <xdr:col>7</xdr:col>
      <xdr:colOff>649112</xdr:colOff>
      <xdr:row>8</xdr:row>
      <xdr:rowOff>172478</xdr:rowOff>
    </xdr:to>
    <xdr:sp macro="" textlink="Sheet1!D7">
      <xdr:nvSpPr>
        <xdr:cNvPr id="17" name="TextBox 16">
          <a:extLst>
            <a:ext uri="{FF2B5EF4-FFF2-40B4-BE49-F238E27FC236}">
              <a16:creationId xmlns:a16="http://schemas.microsoft.com/office/drawing/2014/main" id="{65CE8C09-3FAE-42E3-A51A-C121A4DB1FF1}"/>
            </a:ext>
          </a:extLst>
        </xdr:cNvPr>
        <xdr:cNvSpPr txBox="1"/>
      </xdr:nvSpPr>
      <xdr:spPr>
        <a:xfrm>
          <a:off x="4007556" y="1213557"/>
          <a:ext cx="1317037" cy="539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7B7C57-298F-4963-91E7-A4D52E45F5D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428497</xdr:colOff>
      <xdr:row>8</xdr:row>
      <xdr:rowOff>129754</xdr:rowOff>
    </xdr:from>
    <xdr:to>
      <xdr:col>7</xdr:col>
      <xdr:colOff>632935</xdr:colOff>
      <xdr:row>10</xdr:row>
      <xdr:rowOff>129752</xdr:rowOff>
    </xdr:to>
    <xdr:sp macro="" textlink="">
      <xdr:nvSpPr>
        <xdr:cNvPr id="21" name="TextBox 20">
          <a:extLst>
            <a:ext uri="{FF2B5EF4-FFF2-40B4-BE49-F238E27FC236}">
              <a16:creationId xmlns:a16="http://schemas.microsoft.com/office/drawing/2014/main" id="{685CBD89-CD36-42A0-910C-06B2D16FE4EA}"/>
            </a:ext>
          </a:extLst>
        </xdr:cNvPr>
        <xdr:cNvSpPr txBox="1"/>
      </xdr:nvSpPr>
      <xdr:spPr>
        <a:xfrm rot="10800000" flipH="1" flipV="1">
          <a:off x="3768127" y="1710198"/>
          <a:ext cx="1540289" cy="395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NO OF  ITEMS</a:t>
          </a:r>
          <a:endParaRPr lang="en-IN" sz="1200" b="1"/>
        </a:p>
      </xdr:txBody>
    </xdr:sp>
    <xdr:clientData/>
  </xdr:twoCellAnchor>
  <xdr:twoCellAnchor>
    <xdr:from>
      <xdr:col>9</xdr:col>
      <xdr:colOff>623411</xdr:colOff>
      <xdr:row>8</xdr:row>
      <xdr:rowOff>112889</xdr:rowOff>
    </xdr:from>
    <xdr:to>
      <xdr:col>12</xdr:col>
      <xdr:colOff>235184</xdr:colOff>
      <xdr:row>10</xdr:row>
      <xdr:rowOff>176674</xdr:rowOff>
    </xdr:to>
    <xdr:sp macro="" textlink="">
      <xdr:nvSpPr>
        <xdr:cNvPr id="22" name="TextBox 21">
          <a:extLst>
            <a:ext uri="{FF2B5EF4-FFF2-40B4-BE49-F238E27FC236}">
              <a16:creationId xmlns:a16="http://schemas.microsoft.com/office/drawing/2014/main" id="{594CE93D-1800-435E-8D7E-7B8BA54F12EA}"/>
            </a:ext>
          </a:extLst>
        </xdr:cNvPr>
        <xdr:cNvSpPr txBox="1"/>
      </xdr:nvSpPr>
      <xdr:spPr>
        <a:xfrm>
          <a:off x="6634744" y="1693333"/>
          <a:ext cx="1615551" cy="45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AVG RATING</a:t>
          </a:r>
          <a:endParaRPr lang="en-IN" sz="1200" b="1"/>
        </a:p>
      </xdr:txBody>
    </xdr:sp>
    <xdr:clientData/>
  </xdr:twoCellAnchor>
  <xdr:twoCellAnchor editAs="oneCell">
    <xdr:from>
      <xdr:col>13</xdr:col>
      <xdr:colOff>357735</xdr:colOff>
      <xdr:row>0</xdr:row>
      <xdr:rowOff>122297</xdr:rowOff>
    </xdr:from>
    <xdr:to>
      <xdr:col>13</xdr:col>
      <xdr:colOff>593964</xdr:colOff>
      <xdr:row>1</xdr:row>
      <xdr:rowOff>159926</xdr:rowOff>
    </xdr:to>
    <xdr:pic>
      <xdr:nvPicPr>
        <xdr:cNvPr id="23" name="Picture 22">
          <a:extLst>
            <a:ext uri="{FF2B5EF4-FFF2-40B4-BE49-F238E27FC236}">
              <a16:creationId xmlns:a16="http://schemas.microsoft.com/office/drawing/2014/main" id="{88D2787D-157A-880D-F7A4-3C69AFAE1D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flipV="1">
          <a:off x="9040772" y="122297"/>
          <a:ext cx="236229" cy="235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68378</xdr:colOff>
      <xdr:row>6</xdr:row>
      <xdr:rowOff>36941</xdr:rowOff>
    </xdr:from>
    <xdr:to>
      <xdr:col>9</xdr:col>
      <xdr:colOff>282226</xdr:colOff>
      <xdr:row>7</xdr:row>
      <xdr:rowOff>85896</xdr:rowOff>
    </xdr:to>
    <xdr:pic>
      <xdr:nvPicPr>
        <xdr:cNvPr id="24" name="Picture 23">
          <a:extLst>
            <a:ext uri="{FF2B5EF4-FFF2-40B4-BE49-F238E27FC236}">
              <a16:creationId xmlns:a16="http://schemas.microsoft.com/office/drawing/2014/main" id="{EEDDAF0A-3ECC-E024-7C40-140DF3D119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79711" y="1222274"/>
          <a:ext cx="213848" cy="246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327194</xdr:colOff>
      <xdr:row>6</xdr:row>
      <xdr:rowOff>65853</xdr:rowOff>
    </xdr:from>
    <xdr:to>
      <xdr:col>13</xdr:col>
      <xdr:colOff>564445</xdr:colOff>
      <xdr:row>7</xdr:row>
      <xdr:rowOff>79444</xdr:rowOff>
    </xdr:to>
    <xdr:pic>
      <xdr:nvPicPr>
        <xdr:cNvPr id="25" name="Picture 24">
          <a:extLst>
            <a:ext uri="{FF2B5EF4-FFF2-40B4-BE49-F238E27FC236}">
              <a16:creationId xmlns:a16="http://schemas.microsoft.com/office/drawing/2014/main" id="{A2DB4711-B81F-1AA1-F3C5-06576F3AD4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10231" y="1251186"/>
          <a:ext cx="237251" cy="211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652440</xdr:colOff>
      <xdr:row>0</xdr:row>
      <xdr:rowOff>112544</xdr:rowOff>
    </xdr:from>
    <xdr:to>
      <xdr:col>9</xdr:col>
      <xdr:colOff>291632</xdr:colOff>
      <xdr:row>1</xdr:row>
      <xdr:rowOff>172618</xdr:rowOff>
    </xdr:to>
    <xdr:pic>
      <xdr:nvPicPr>
        <xdr:cNvPr id="26" name="Picture 25">
          <a:extLst>
            <a:ext uri="{FF2B5EF4-FFF2-40B4-BE49-F238E27FC236}">
              <a16:creationId xmlns:a16="http://schemas.microsoft.com/office/drawing/2014/main" id="{FC667B7A-AF91-755E-9400-7102495FF1A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95847" y="112544"/>
          <a:ext cx="307118" cy="257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216370</xdr:colOff>
      <xdr:row>11</xdr:row>
      <xdr:rowOff>169332</xdr:rowOff>
    </xdr:from>
    <xdr:to>
      <xdr:col>14</xdr:col>
      <xdr:colOff>75259</xdr:colOff>
      <xdr:row>38</xdr:row>
      <xdr:rowOff>142874</xdr:rowOff>
    </xdr:to>
    <xdr:sp macro="" textlink="">
      <xdr:nvSpPr>
        <xdr:cNvPr id="27" name="Rectangle: Rounded Corners 26">
          <a:extLst>
            <a:ext uri="{FF2B5EF4-FFF2-40B4-BE49-F238E27FC236}">
              <a16:creationId xmlns:a16="http://schemas.microsoft.com/office/drawing/2014/main" id="{9ACC19F1-42E5-473A-A7B5-3197EB36AEF4}"/>
            </a:ext>
          </a:extLst>
        </xdr:cNvPr>
        <xdr:cNvSpPr/>
      </xdr:nvSpPr>
      <xdr:spPr>
        <a:xfrm>
          <a:off x="3550120" y="2369607"/>
          <a:ext cx="5859639" cy="5374217"/>
        </a:xfrm>
        <a:prstGeom prst="roundRect">
          <a:avLst>
            <a:gd name="adj" fmla="val 2872"/>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235184</xdr:colOff>
      <xdr:row>11</xdr:row>
      <xdr:rowOff>9408</xdr:rowOff>
    </xdr:from>
    <xdr:to>
      <xdr:col>7</xdr:col>
      <xdr:colOff>47038</xdr:colOff>
      <xdr:row>14</xdr:row>
      <xdr:rowOff>9407</xdr:rowOff>
    </xdr:to>
    <xdr:sp macro="" textlink="">
      <xdr:nvSpPr>
        <xdr:cNvPr id="35" name="TextBox 34">
          <a:extLst>
            <a:ext uri="{FF2B5EF4-FFF2-40B4-BE49-F238E27FC236}">
              <a16:creationId xmlns:a16="http://schemas.microsoft.com/office/drawing/2014/main" id="{7343D757-3F76-465F-8E13-F98DE6209B97}"/>
            </a:ext>
          </a:extLst>
        </xdr:cNvPr>
        <xdr:cNvSpPr txBox="1"/>
      </xdr:nvSpPr>
      <xdr:spPr>
        <a:xfrm>
          <a:off x="3574814" y="2182519"/>
          <a:ext cx="1147705"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lumMod val="25000"/>
                </a:schemeClr>
              </a:solidFill>
            </a:rPr>
            <a:t>FAT CONTENT</a:t>
          </a:r>
          <a:endParaRPr lang="en-IN" sz="1200" b="1">
            <a:solidFill>
              <a:schemeClr val="bg2">
                <a:lumMod val="25000"/>
              </a:schemeClr>
            </a:solidFill>
          </a:endParaRPr>
        </a:p>
      </xdr:txBody>
    </xdr:sp>
    <xdr:clientData/>
  </xdr:twoCellAnchor>
  <xdr:twoCellAnchor>
    <xdr:from>
      <xdr:col>9</xdr:col>
      <xdr:colOff>490910</xdr:colOff>
      <xdr:row>13</xdr:row>
      <xdr:rowOff>149715</xdr:rowOff>
    </xdr:from>
    <xdr:to>
      <xdr:col>9</xdr:col>
      <xdr:colOff>517408</xdr:colOff>
      <xdr:row>37</xdr:row>
      <xdr:rowOff>56444</xdr:rowOff>
    </xdr:to>
    <xdr:cxnSp macro="">
      <xdr:nvCxnSpPr>
        <xdr:cNvPr id="39" name="Straight Connector 38">
          <a:extLst>
            <a:ext uri="{FF2B5EF4-FFF2-40B4-BE49-F238E27FC236}">
              <a16:creationId xmlns:a16="http://schemas.microsoft.com/office/drawing/2014/main" id="{680F8903-5BF6-74C5-DE95-CB08F6F6F3F4}"/>
            </a:ext>
          </a:extLst>
        </xdr:cNvPr>
        <xdr:cNvCxnSpPr/>
      </xdr:nvCxnSpPr>
      <xdr:spPr>
        <a:xfrm>
          <a:off x="6502243" y="2717937"/>
          <a:ext cx="26498" cy="464806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117238</xdr:colOff>
      <xdr:row>25</xdr:row>
      <xdr:rowOff>28222</xdr:rowOff>
    </xdr:from>
    <xdr:to>
      <xdr:col>7</xdr:col>
      <xdr:colOff>479776</xdr:colOff>
      <xdr:row>27</xdr:row>
      <xdr:rowOff>35680</xdr:rowOff>
    </xdr:to>
    <xdr:sp macro="" textlink="">
      <xdr:nvSpPr>
        <xdr:cNvPr id="68" name="TextBox 67">
          <a:extLst>
            <a:ext uri="{FF2B5EF4-FFF2-40B4-BE49-F238E27FC236}">
              <a16:creationId xmlns:a16="http://schemas.microsoft.com/office/drawing/2014/main" id="{C1863018-DD90-4FCF-AE1F-EFCA573EE5C6}"/>
            </a:ext>
          </a:extLst>
        </xdr:cNvPr>
        <xdr:cNvSpPr txBox="1"/>
      </xdr:nvSpPr>
      <xdr:spPr>
        <a:xfrm flipH="1">
          <a:off x="3456868" y="4967111"/>
          <a:ext cx="1698389" cy="402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lumMod val="25000"/>
                </a:schemeClr>
              </a:solidFill>
              <a:latin typeface="Segoe UI Semibold" panose="020B0702040204020203" pitchFamily="34" charset="0"/>
              <a:cs typeface="Segoe UI Semibold" panose="020B0702040204020203" pitchFamily="34" charset="0"/>
            </a:rPr>
            <a:t>FAT  BY </a:t>
          </a:r>
          <a:r>
            <a:rPr lang="en-IN" sz="1200" b="1" baseline="0">
              <a:solidFill>
                <a:schemeClr val="tx1">
                  <a:lumMod val="95000"/>
                  <a:lumOff val="5000"/>
                </a:schemeClr>
              </a:solidFill>
              <a:latin typeface="Segoe UI Semibold" panose="020B0702040204020203" pitchFamily="34" charset="0"/>
              <a:cs typeface="Segoe UI Semibold" panose="020B0702040204020203" pitchFamily="34" charset="0"/>
            </a:rPr>
            <a:t>OUTLET</a:t>
          </a:r>
          <a:endParaRPr lang="en-IN" sz="1200" b="1">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199735</xdr:colOff>
      <xdr:row>25</xdr:row>
      <xdr:rowOff>47037</xdr:rowOff>
    </xdr:from>
    <xdr:to>
      <xdr:col>9</xdr:col>
      <xdr:colOff>272815</xdr:colOff>
      <xdr:row>25</xdr:row>
      <xdr:rowOff>56329</xdr:rowOff>
    </xdr:to>
    <xdr:cxnSp macro="">
      <xdr:nvCxnSpPr>
        <xdr:cNvPr id="86" name="Straight Connector 85">
          <a:extLst>
            <a:ext uri="{FF2B5EF4-FFF2-40B4-BE49-F238E27FC236}">
              <a16:creationId xmlns:a16="http://schemas.microsoft.com/office/drawing/2014/main" id="{9DDBB552-D7F9-49DF-8317-9995038B7D66}"/>
            </a:ext>
          </a:extLst>
        </xdr:cNvPr>
        <xdr:cNvCxnSpPr/>
      </xdr:nvCxnSpPr>
      <xdr:spPr>
        <a:xfrm flipV="1">
          <a:off x="3539365" y="4985926"/>
          <a:ext cx="2744783" cy="929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197555</xdr:colOff>
      <xdr:row>13</xdr:row>
      <xdr:rowOff>141112</xdr:rowOff>
    </xdr:from>
    <xdr:to>
      <xdr:col>9</xdr:col>
      <xdr:colOff>385703</xdr:colOff>
      <xdr:row>25</xdr:row>
      <xdr:rowOff>30473</xdr:rowOff>
    </xdr:to>
    <xdr:graphicFrame macro="">
      <xdr:nvGraphicFramePr>
        <xdr:cNvPr id="100" name="Chart 99">
          <a:extLst>
            <a:ext uri="{FF2B5EF4-FFF2-40B4-BE49-F238E27FC236}">
              <a16:creationId xmlns:a16="http://schemas.microsoft.com/office/drawing/2014/main" id="{6398DDE6-E0FD-4236-BC0C-F8B0C2036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131705</xdr:colOff>
      <xdr:row>26</xdr:row>
      <xdr:rowOff>112889</xdr:rowOff>
    </xdr:from>
    <xdr:to>
      <xdr:col>9</xdr:col>
      <xdr:colOff>263409</xdr:colOff>
      <xdr:row>38</xdr:row>
      <xdr:rowOff>65851</xdr:rowOff>
    </xdr:to>
    <xdr:graphicFrame macro="">
      <xdr:nvGraphicFramePr>
        <xdr:cNvPr id="105" name="Chart 104">
          <a:extLst>
            <a:ext uri="{FF2B5EF4-FFF2-40B4-BE49-F238E27FC236}">
              <a16:creationId xmlns:a16="http://schemas.microsoft.com/office/drawing/2014/main" id="{5DBC1A06-A47B-417F-9285-7F80158E7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216371</xdr:colOff>
      <xdr:row>0</xdr:row>
      <xdr:rowOff>84572</xdr:rowOff>
    </xdr:from>
    <xdr:to>
      <xdr:col>23</xdr:col>
      <xdr:colOff>282223</xdr:colOff>
      <xdr:row>38</xdr:row>
      <xdr:rowOff>171449</xdr:rowOff>
    </xdr:to>
    <xdr:sp macro="" textlink="">
      <xdr:nvSpPr>
        <xdr:cNvPr id="111" name="Rectangle: Rounded Corners 110">
          <a:extLst>
            <a:ext uri="{FF2B5EF4-FFF2-40B4-BE49-F238E27FC236}">
              <a16:creationId xmlns:a16="http://schemas.microsoft.com/office/drawing/2014/main" id="{8D038AAC-48CF-49C8-AA5B-9B506102C5BC}"/>
            </a:ext>
          </a:extLst>
        </xdr:cNvPr>
        <xdr:cNvSpPr/>
      </xdr:nvSpPr>
      <xdr:spPr>
        <a:xfrm>
          <a:off x="9550871" y="84572"/>
          <a:ext cx="6066602" cy="7687827"/>
        </a:xfrm>
        <a:prstGeom prst="roundRect">
          <a:avLst>
            <a:gd name="adj" fmla="val 3187"/>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508000</xdr:colOff>
      <xdr:row>13</xdr:row>
      <xdr:rowOff>103482</xdr:rowOff>
    </xdr:from>
    <xdr:to>
      <xdr:col>13</xdr:col>
      <xdr:colOff>630296</xdr:colOff>
      <xdr:row>38</xdr:row>
      <xdr:rowOff>47037</xdr:rowOff>
    </xdr:to>
    <xdr:graphicFrame macro="">
      <xdr:nvGraphicFramePr>
        <xdr:cNvPr id="106" name="Chart 105">
          <a:extLst>
            <a:ext uri="{FF2B5EF4-FFF2-40B4-BE49-F238E27FC236}">
              <a16:creationId xmlns:a16="http://schemas.microsoft.com/office/drawing/2014/main" id="{8BDE9F0B-272D-45D8-BD5A-77091EBB8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451556</xdr:colOff>
      <xdr:row>11</xdr:row>
      <xdr:rowOff>159923</xdr:rowOff>
    </xdr:from>
    <xdr:to>
      <xdr:col>11</xdr:col>
      <xdr:colOff>385704</xdr:colOff>
      <xdr:row>13</xdr:row>
      <xdr:rowOff>47037</xdr:rowOff>
    </xdr:to>
    <xdr:sp macro="" textlink="">
      <xdr:nvSpPr>
        <xdr:cNvPr id="107" name="TextBox 106">
          <a:extLst>
            <a:ext uri="{FF2B5EF4-FFF2-40B4-BE49-F238E27FC236}">
              <a16:creationId xmlns:a16="http://schemas.microsoft.com/office/drawing/2014/main" id="{BC7B125C-4646-459B-BD8C-B5B3E588E530}"/>
            </a:ext>
          </a:extLst>
        </xdr:cNvPr>
        <xdr:cNvSpPr txBox="1"/>
      </xdr:nvSpPr>
      <xdr:spPr>
        <a:xfrm>
          <a:off x="6462889" y="2333034"/>
          <a:ext cx="1270000" cy="282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bg2">
                  <a:lumMod val="25000"/>
                </a:schemeClr>
              </a:solidFill>
              <a:latin typeface="Segoe UI Semibold" panose="020B0702040204020203" pitchFamily="34" charset="0"/>
              <a:cs typeface="Segoe UI Semibold" panose="020B0702040204020203" pitchFamily="34" charset="0"/>
            </a:rPr>
            <a:t>ITEM TYPE</a:t>
          </a:r>
          <a:endParaRPr lang="en-IN" sz="1100" b="1">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26</xdr:col>
      <xdr:colOff>254000</xdr:colOff>
      <xdr:row>6</xdr:row>
      <xdr:rowOff>47037</xdr:rowOff>
    </xdr:from>
    <xdr:to>
      <xdr:col>29</xdr:col>
      <xdr:colOff>489186</xdr:colOff>
      <xdr:row>9</xdr:row>
      <xdr:rowOff>141111</xdr:rowOff>
    </xdr:to>
    <xdr:sp macro="" textlink="">
      <xdr:nvSpPr>
        <xdr:cNvPr id="113" name="TextBox 112">
          <a:extLst>
            <a:ext uri="{FF2B5EF4-FFF2-40B4-BE49-F238E27FC236}">
              <a16:creationId xmlns:a16="http://schemas.microsoft.com/office/drawing/2014/main" id="{CB9252C4-21D3-453E-8CBC-EC7C57AB4095}"/>
            </a:ext>
          </a:extLst>
        </xdr:cNvPr>
        <xdr:cNvSpPr txBox="1"/>
      </xdr:nvSpPr>
      <xdr:spPr>
        <a:xfrm>
          <a:off x="17620074" y="1232370"/>
          <a:ext cx="2238964" cy="68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lumMod val="25000"/>
                </a:schemeClr>
              </a:solidFill>
              <a:latin typeface="Segoe UI Black" panose="020B0A02040204020203" pitchFamily="34" charset="0"/>
              <a:ea typeface="Segoe UI Black" panose="020B0A02040204020203" pitchFamily="34" charset="0"/>
            </a:rPr>
            <a:t>OUTLET ESTABLISHMENT</a:t>
          </a:r>
          <a:endParaRPr lang="en-IN" sz="1200" b="1">
            <a:solidFill>
              <a:schemeClr val="bg2">
                <a:lumMod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319851</xdr:colOff>
      <xdr:row>1</xdr:row>
      <xdr:rowOff>94075</xdr:rowOff>
    </xdr:from>
    <xdr:to>
      <xdr:col>23</xdr:col>
      <xdr:colOff>301037</xdr:colOff>
      <xdr:row>15</xdr:row>
      <xdr:rowOff>71498</xdr:rowOff>
    </xdr:to>
    <xdr:graphicFrame macro="">
      <xdr:nvGraphicFramePr>
        <xdr:cNvPr id="110" name="Chart 109">
          <a:extLst>
            <a:ext uri="{FF2B5EF4-FFF2-40B4-BE49-F238E27FC236}">
              <a16:creationId xmlns:a16="http://schemas.microsoft.com/office/drawing/2014/main" id="{62A23A58-2302-44F7-AA4D-8AA9300E7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366889</xdr:colOff>
      <xdr:row>0</xdr:row>
      <xdr:rowOff>37627</xdr:rowOff>
    </xdr:from>
    <xdr:to>
      <xdr:col>17</xdr:col>
      <xdr:colOff>470371</xdr:colOff>
      <xdr:row>2</xdr:row>
      <xdr:rowOff>178739</xdr:rowOff>
    </xdr:to>
    <xdr:sp macro="" textlink="">
      <xdr:nvSpPr>
        <xdr:cNvPr id="114" name="TextBox 113">
          <a:extLst>
            <a:ext uri="{FF2B5EF4-FFF2-40B4-BE49-F238E27FC236}">
              <a16:creationId xmlns:a16="http://schemas.microsoft.com/office/drawing/2014/main" id="{89AB3036-B799-45D0-BBA8-28A6D13103C7}"/>
            </a:ext>
          </a:extLst>
        </xdr:cNvPr>
        <xdr:cNvSpPr txBox="1"/>
      </xdr:nvSpPr>
      <xdr:spPr>
        <a:xfrm>
          <a:off x="9717852" y="37627"/>
          <a:ext cx="2107260" cy="53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bg2">
                  <a:lumMod val="25000"/>
                </a:schemeClr>
              </a:solidFill>
            </a:rPr>
            <a:t>OUTLET ESTABLISHMENT</a:t>
          </a:r>
          <a:endParaRPr lang="en-IN" sz="1400" b="1">
            <a:solidFill>
              <a:schemeClr val="bg2">
                <a:lumMod val="25000"/>
              </a:schemeClr>
            </a:solidFill>
          </a:endParaRPr>
        </a:p>
      </xdr:txBody>
    </xdr:sp>
    <xdr:clientData/>
  </xdr:twoCellAnchor>
  <xdr:twoCellAnchor>
    <xdr:from>
      <xdr:col>14</xdr:col>
      <xdr:colOff>658518</xdr:colOff>
      <xdr:row>15</xdr:row>
      <xdr:rowOff>169334</xdr:rowOff>
    </xdr:from>
    <xdr:to>
      <xdr:col>22</xdr:col>
      <xdr:colOff>583260</xdr:colOff>
      <xdr:row>16</xdr:row>
      <xdr:rowOff>0</xdr:rowOff>
    </xdr:to>
    <xdr:cxnSp macro="">
      <xdr:nvCxnSpPr>
        <xdr:cNvPr id="18" name="Straight Connector 17">
          <a:extLst>
            <a:ext uri="{FF2B5EF4-FFF2-40B4-BE49-F238E27FC236}">
              <a16:creationId xmlns:a16="http://schemas.microsoft.com/office/drawing/2014/main" id="{A2AB6819-1808-4DFD-B48B-548996403732}"/>
            </a:ext>
          </a:extLst>
        </xdr:cNvPr>
        <xdr:cNvCxnSpPr/>
      </xdr:nvCxnSpPr>
      <xdr:spPr>
        <a:xfrm flipV="1">
          <a:off x="10009481" y="3132667"/>
          <a:ext cx="5268149" cy="2822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573854</xdr:colOff>
      <xdr:row>15</xdr:row>
      <xdr:rowOff>178742</xdr:rowOff>
    </xdr:from>
    <xdr:to>
      <xdr:col>16</xdr:col>
      <xdr:colOff>357484</xdr:colOff>
      <xdr:row>18</xdr:row>
      <xdr:rowOff>1</xdr:rowOff>
    </xdr:to>
    <xdr:sp macro="" textlink="">
      <xdr:nvSpPr>
        <xdr:cNvPr id="33" name="TextBox 32">
          <a:extLst>
            <a:ext uri="{FF2B5EF4-FFF2-40B4-BE49-F238E27FC236}">
              <a16:creationId xmlns:a16="http://schemas.microsoft.com/office/drawing/2014/main" id="{AF761A97-128B-4B68-828A-B25AFAF553C4}"/>
            </a:ext>
          </a:extLst>
        </xdr:cNvPr>
        <xdr:cNvSpPr txBox="1"/>
      </xdr:nvSpPr>
      <xdr:spPr>
        <a:xfrm>
          <a:off x="9924817" y="3142075"/>
          <a:ext cx="1119482" cy="41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bg2">
                  <a:lumMod val="25000"/>
                </a:schemeClr>
              </a:solidFill>
            </a:rPr>
            <a:t>OUTLET SIZE</a:t>
          </a:r>
          <a:endParaRPr lang="en-IN" sz="1400" b="1">
            <a:solidFill>
              <a:schemeClr val="bg2">
                <a:lumMod val="25000"/>
              </a:schemeClr>
            </a:solidFill>
          </a:endParaRPr>
        </a:p>
      </xdr:txBody>
    </xdr:sp>
    <xdr:clientData/>
  </xdr:twoCellAnchor>
  <xdr:twoCellAnchor>
    <xdr:from>
      <xdr:col>14</xdr:col>
      <xdr:colOff>564444</xdr:colOff>
      <xdr:row>17</xdr:row>
      <xdr:rowOff>178742</xdr:rowOff>
    </xdr:from>
    <xdr:to>
      <xdr:col>18</xdr:col>
      <xdr:colOff>254000</xdr:colOff>
      <xdr:row>28</xdr:row>
      <xdr:rowOff>103481</xdr:rowOff>
    </xdr:to>
    <xdr:graphicFrame macro="">
      <xdr:nvGraphicFramePr>
        <xdr:cNvPr id="36" name="Chart 35">
          <a:extLst>
            <a:ext uri="{FF2B5EF4-FFF2-40B4-BE49-F238E27FC236}">
              <a16:creationId xmlns:a16="http://schemas.microsoft.com/office/drawing/2014/main" id="{3AA05A17-8F75-4C47-8987-C82A65035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602073</xdr:colOff>
      <xdr:row>27</xdr:row>
      <xdr:rowOff>169333</xdr:rowOff>
    </xdr:from>
    <xdr:to>
      <xdr:col>22</xdr:col>
      <xdr:colOff>649111</xdr:colOff>
      <xdr:row>27</xdr:row>
      <xdr:rowOff>178740</xdr:rowOff>
    </xdr:to>
    <xdr:cxnSp macro="">
      <xdr:nvCxnSpPr>
        <xdr:cNvPr id="37" name="Straight Connector 36">
          <a:extLst>
            <a:ext uri="{FF2B5EF4-FFF2-40B4-BE49-F238E27FC236}">
              <a16:creationId xmlns:a16="http://schemas.microsoft.com/office/drawing/2014/main" id="{6398546B-41A7-4F19-8BF1-BFAE5CF8DF94}"/>
            </a:ext>
          </a:extLst>
        </xdr:cNvPr>
        <xdr:cNvCxnSpPr/>
      </xdr:nvCxnSpPr>
      <xdr:spPr>
        <a:xfrm flipV="1">
          <a:off x="9953036" y="5503333"/>
          <a:ext cx="5390445" cy="94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9407</xdr:colOff>
      <xdr:row>16</xdr:row>
      <xdr:rowOff>131704</xdr:rowOff>
    </xdr:from>
    <xdr:to>
      <xdr:col>19</xdr:col>
      <xdr:colOff>9407</xdr:colOff>
      <xdr:row>27</xdr:row>
      <xdr:rowOff>94074</xdr:rowOff>
    </xdr:to>
    <xdr:cxnSp macro="">
      <xdr:nvCxnSpPr>
        <xdr:cNvPr id="41" name="Straight Connector 40">
          <a:extLst>
            <a:ext uri="{FF2B5EF4-FFF2-40B4-BE49-F238E27FC236}">
              <a16:creationId xmlns:a16="http://schemas.microsoft.com/office/drawing/2014/main" id="{309F0F67-F069-1145-B70C-DBF5FADF0873}"/>
            </a:ext>
          </a:extLst>
        </xdr:cNvPr>
        <xdr:cNvCxnSpPr/>
      </xdr:nvCxnSpPr>
      <xdr:spPr>
        <a:xfrm>
          <a:off x="12700000" y="3292593"/>
          <a:ext cx="0" cy="213548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65852</xdr:colOff>
      <xdr:row>17</xdr:row>
      <xdr:rowOff>75260</xdr:rowOff>
    </xdr:from>
    <xdr:to>
      <xdr:col>23</xdr:col>
      <xdr:colOff>188148</xdr:colOff>
      <xdr:row>27</xdr:row>
      <xdr:rowOff>131704</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D76BCD78-A84D-4FF1-8798-3A115B7E56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06492" y="3443300"/>
              <a:ext cx="2804536" cy="20376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649109</xdr:colOff>
      <xdr:row>15</xdr:row>
      <xdr:rowOff>159927</xdr:rowOff>
    </xdr:from>
    <xdr:to>
      <xdr:col>21</xdr:col>
      <xdr:colOff>310443</xdr:colOff>
      <xdr:row>17</xdr:row>
      <xdr:rowOff>178742</xdr:rowOff>
    </xdr:to>
    <xdr:sp macro="" textlink="">
      <xdr:nvSpPr>
        <xdr:cNvPr id="52" name="TextBox 51">
          <a:extLst>
            <a:ext uri="{FF2B5EF4-FFF2-40B4-BE49-F238E27FC236}">
              <a16:creationId xmlns:a16="http://schemas.microsoft.com/office/drawing/2014/main" id="{D19B12B7-19C8-4CAE-9500-202F23342FC5}"/>
            </a:ext>
          </a:extLst>
        </xdr:cNvPr>
        <xdr:cNvSpPr txBox="1"/>
      </xdr:nvSpPr>
      <xdr:spPr>
        <a:xfrm>
          <a:off x="12671776" y="3123260"/>
          <a:ext cx="1665111" cy="41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bg2">
                  <a:lumMod val="25000"/>
                </a:schemeClr>
              </a:solidFill>
            </a:rPr>
            <a:t>OUTLET LOCATION</a:t>
          </a:r>
          <a:endParaRPr lang="en-IN" sz="1400" b="1">
            <a:solidFill>
              <a:schemeClr val="bg2">
                <a:lumMod val="25000"/>
              </a:schemeClr>
            </a:solidFill>
          </a:endParaRPr>
        </a:p>
      </xdr:txBody>
    </xdr:sp>
    <xdr:clientData/>
  </xdr:twoCellAnchor>
  <xdr:twoCellAnchor>
    <xdr:from>
      <xdr:col>14</xdr:col>
      <xdr:colOff>318910</xdr:colOff>
      <xdr:row>28</xdr:row>
      <xdr:rowOff>142875</xdr:rowOff>
    </xdr:from>
    <xdr:to>
      <xdr:col>18</xdr:col>
      <xdr:colOff>9525</xdr:colOff>
      <xdr:row>39</xdr:row>
      <xdr:rowOff>15983</xdr:rowOff>
    </xdr:to>
    <xdr:graphicFrame macro="">
      <xdr:nvGraphicFramePr>
        <xdr:cNvPr id="53" name="Chart 52">
          <a:extLst>
            <a:ext uri="{FF2B5EF4-FFF2-40B4-BE49-F238E27FC236}">
              <a16:creationId xmlns:a16="http://schemas.microsoft.com/office/drawing/2014/main" id="{3103AD12-530D-46D5-8E51-D9FF0DAAA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423334</xdr:colOff>
      <xdr:row>27</xdr:row>
      <xdr:rowOff>178741</xdr:rowOff>
    </xdr:from>
    <xdr:to>
      <xdr:col>16</xdr:col>
      <xdr:colOff>404520</xdr:colOff>
      <xdr:row>29</xdr:row>
      <xdr:rowOff>103482</xdr:rowOff>
    </xdr:to>
    <xdr:sp macro="" textlink="">
      <xdr:nvSpPr>
        <xdr:cNvPr id="56" name="TextBox 55">
          <a:extLst>
            <a:ext uri="{FF2B5EF4-FFF2-40B4-BE49-F238E27FC236}">
              <a16:creationId xmlns:a16="http://schemas.microsoft.com/office/drawing/2014/main" id="{3A1E55F8-6A81-45F1-8ECD-AF4B7CD469CF}"/>
            </a:ext>
          </a:extLst>
        </xdr:cNvPr>
        <xdr:cNvSpPr txBox="1"/>
      </xdr:nvSpPr>
      <xdr:spPr>
        <a:xfrm>
          <a:off x="9774297" y="5512741"/>
          <a:ext cx="1317038"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bg2">
                  <a:lumMod val="25000"/>
                </a:schemeClr>
              </a:solidFill>
            </a:rPr>
            <a:t>OUTLET TYPE</a:t>
          </a:r>
        </a:p>
        <a:p>
          <a:pPr algn="ctr"/>
          <a:endParaRPr lang="en-IN" sz="1400" b="1">
            <a:solidFill>
              <a:schemeClr val="bg2">
                <a:lumMod val="25000"/>
              </a:schemeClr>
            </a:solidFill>
          </a:endParaRPr>
        </a:p>
      </xdr:txBody>
    </xdr:sp>
    <xdr:clientData/>
  </xdr:twoCellAnchor>
  <xdr:twoCellAnchor>
    <xdr:from>
      <xdr:col>17</xdr:col>
      <xdr:colOff>599723</xdr:colOff>
      <xdr:row>28</xdr:row>
      <xdr:rowOff>160984</xdr:rowOff>
    </xdr:from>
    <xdr:to>
      <xdr:col>20</xdr:col>
      <xdr:colOff>328083</xdr:colOff>
      <xdr:row>38</xdr:row>
      <xdr:rowOff>104540</xdr:rowOff>
    </xdr:to>
    <xdr:graphicFrame macro="">
      <xdr:nvGraphicFramePr>
        <xdr:cNvPr id="57" name="Chart 56">
          <a:extLst>
            <a:ext uri="{FF2B5EF4-FFF2-40B4-BE49-F238E27FC236}">
              <a16:creationId xmlns:a16="http://schemas.microsoft.com/office/drawing/2014/main" id="{A53E157E-61EA-4D66-830F-D716AB807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161925</xdr:colOff>
      <xdr:row>37</xdr:row>
      <xdr:rowOff>161926</xdr:rowOff>
    </xdr:from>
    <xdr:to>
      <xdr:col>17</xdr:col>
      <xdr:colOff>152400</xdr:colOff>
      <xdr:row>39</xdr:row>
      <xdr:rowOff>9525</xdr:rowOff>
    </xdr:to>
    <xdr:sp macro="" textlink="">
      <xdr:nvSpPr>
        <xdr:cNvPr id="58" name="TextBox 57">
          <a:extLst>
            <a:ext uri="{FF2B5EF4-FFF2-40B4-BE49-F238E27FC236}">
              <a16:creationId xmlns:a16="http://schemas.microsoft.com/office/drawing/2014/main" id="{296C3772-5BFD-41BA-A071-8CFD8E145072}"/>
            </a:ext>
          </a:extLst>
        </xdr:cNvPr>
        <xdr:cNvSpPr txBox="1"/>
      </xdr:nvSpPr>
      <xdr:spPr>
        <a:xfrm>
          <a:off x="10163175" y="7562851"/>
          <a:ext cx="132397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B0F0"/>
              </a:solidFill>
            </a:rPr>
            <a:t>TOTAL </a:t>
          </a:r>
          <a:r>
            <a:rPr lang="en-IN" sz="1000" b="1" baseline="0">
              <a:solidFill>
                <a:srgbClr val="00B0F0"/>
              </a:solidFill>
              <a:latin typeface="Segoe UI Semibold" panose="020B0702040204020203" pitchFamily="34" charset="0"/>
              <a:cs typeface="Segoe UI Semibold" panose="020B0702040204020203" pitchFamily="34" charset="0"/>
            </a:rPr>
            <a:t>SALES</a:t>
          </a:r>
        </a:p>
        <a:p>
          <a:pPr algn="ctr"/>
          <a:endParaRPr lang="en-IN" sz="1000" b="1">
            <a:solidFill>
              <a:srgbClr val="00B0F0"/>
            </a:solidFill>
          </a:endParaRPr>
        </a:p>
      </xdr:txBody>
    </xdr:sp>
    <xdr:clientData/>
  </xdr:twoCellAnchor>
  <xdr:twoCellAnchor>
    <xdr:from>
      <xdr:col>17</xdr:col>
      <xdr:colOff>130525</xdr:colOff>
      <xdr:row>37</xdr:row>
      <xdr:rowOff>170509</xdr:rowOff>
    </xdr:from>
    <xdr:to>
      <xdr:col>20</xdr:col>
      <xdr:colOff>92896</xdr:colOff>
      <xdr:row>39</xdr:row>
      <xdr:rowOff>9525</xdr:rowOff>
    </xdr:to>
    <xdr:sp macro="" textlink="">
      <xdr:nvSpPr>
        <xdr:cNvPr id="59" name="TextBox 58">
          <a:extLst>
            <a:ext uri="{FF2B5EF4-FFF2-40B4-BE49-F238E27FC236}">
              <a16:creationId xmlns:a16="http://schemas.microsoft.com/office/drawing/2014/main" id="{BF531D3F-CE0F-48AE-938F-C4E432926531}"/>
            </a:ext>
          </a:extLst>
        </xdr:cNvPr>
        <xdr:cNvSpPr txBox="1"/>
      </xdr:nvSpPr>
      <xdr:spPr>
        <a:xfrm rot="10800000" flipV="1">
          <a:off x="11465275" y="7571434"/>
          <a:ext cx="1962621" cy="23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B0F0"/>
              </a:solidFill>
            </a:rPr>
            <a:t>AVG SALES</a:t>
          </a:r>
          <a:endParaRPr lang="en-IN" sz="1000" b="1">
            <a:solidFill>
              <a:srgbClr val="00B0F0"/>
            </a:solidFill>
          </a:endParaRPr>
        </a:p>
      </xdr:txBody>
    </xdr:sp>
    <xdr:clientData/>
  </xdr:twoCellAnchor>
  <xdr:twoCellAnchor>
    <xdr:from>
      <xdr:col>20</xdr:col>
      <xdr:colOff>186738</xdr:colOff>
      <xdr:row>28</xdr:row>
      <xdr:rowOff>198379</xdr:rowOff>
    </xdr:from>
    <xdr:to>
      <xdr:col>23</xdr:col>
      <xdr:colOff>130292</xdr:colOff>
      <xdr:row>37</xdr:row>
      <xdr:rowOff>123120</xdr:rowOff>
    </xdr:to>
    <xdr:graphicFrame macro="">
      <xdr:nvGraphicFramePr>
        <xdr:cNvPr id="60" name="Chart 59">
          <a:extLst>
            <a:ext uri="{FF2B5EF4-FFF2-40B4-BE49-F238E27FC236}">
              <a16:creationId xmlns:a16="http://schemas.microsoft.com/office/drawing/2014/main" id="{AD101E1D-4DD4-45E6-B1E0-5642E3A6D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347367</xdr:colOff>
      <xdr:row>37</xdr:row>
      <xdr:rowOff>114300</xdr:rowOff>
    </xdr:from>
    <xdr:to>
      <xdr:col>22</xdr:col>
      <xdr:colOff>309739</xdr:colOff>
      <xdr:row>38</xdr:row>
      <xdr:rowOff>179799</xdr:rowOff>
    </xdr:to>
    <xdr:sp macro="" textlink="">
      <xdr:nvSpPr>
        <xdr:cNvPr id="62" name="TextBox 61">
          <a:extLst>
            <a:ext uri="{FF2B5EF4-FFF2-40B4-BE49-F238E27FC236}">
              <a16:creationId xmlns:a16="http://schemas.microsoft.com/office/drawing/2014/main" id="{D43BAC8D-1413-4D08-9117-EB942DC4F7C3}"/>
            </a:ext>
          </a:extLst>
        </xdr:cNvPr>
        <xdr:cNvSpPr txBox="1"/>
      </xdr:nvSpPr>
      <xdr:spPr>
        <a:xfrm rot="10800000" flipV="1">
          <a:off x="13015617" y="7515225"/>
          <a:ext cx="1962622" cy="26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B0F0"/>
              </a:solidFill>
            </a:rPr>
            <a:t>NO IF ITEMS</a:t>
          </a:r>
        </a:p>
      </xdr:txBody>
    </xdr:sp>
    <xdr:clientData/>
  </xdr:twoCellAnchor>
  <xdr:twoCellAnchor editAs="oneCell">
    <xdr:from>
      <xdr:col>2</xdr:col>
      <xdr:colOff>317500</xdr:colOff>
      <xdr:row>5</xdr:row>
      <xdr:rowOff>122296</xdr:rowOff>
    </xdr:from>
    <xdr:to>
      <xdr:col>3</xdr:col>
      <xdr:colOff>18815</xdr:colOff>
      <xdr:row>6</xdr:row>
      <xdr:rowOff>143550</xdr:rowOff>
    </xdr:to>
    <xdr:pic>
      <xdr:nvPicPr>
        <xdr:cNvPr id="66" name="Picture 65">
          <a:extLst>
            <a:ext uri="{FF2B5EF4-FFF2-40B4-BE49-F238E27FC236}">
              <a16:creationId xmlns:a16="http://schemas.microsoft.com/office/drawing/2014/main" id="{C166FE19-3A44-AA9C-E4EA-95B7DEA08F4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653352" y="1110074"/>
          <a:ext cx="369241" cy="218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9407</xdr:colOff>
      <xdr:row>5</xdr:row>
      <xdr:rowOff>47037</xdr:rowOff>
    </xdr:from>
    <xdr:to>
      <xdr:col>4</xdr:col>
      <xdr:colOff>460963</xdr:colOff>
      <xdr:row>7</xdr:row>
      <xdr:rowOff>18815</xdr:rowOff>
    </xdr:to>
    <xdr:sp macro="" textlink="">
      <xdr:nvSpPr>
        <xdr:cNvPr id="67" name="TextBox 66">
          <a:extLst>
            <a:ext uri="{FF2B5EF4-FFF2-40B4-BE49-F238E27FC236}">
              <a16:creationId xmlns:a16="http://schemas.microsoft.com/office/drawing/2014/main" id="{1B7635E3-1620-4D18-96F5-B9DA176CBB54}"/>
            </a:ext>
          </a:extLst>
        </xdr:cNvPr>
        <xdr:cNvSpPr txBox="1"/>
      </xdr:nvSpPr>
      <xdr:spPr>
        <a:xfrm>
          <a:off x="2013185" y="1034815"/>
          <a:ext cx="1119482"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lumMod val="25000"/>
                </a:schemeClr>
              </a:solidFill>
              <a:latin typeface="Aptos Display" panose="020B0004020202020204" pitchFamily="34" charset="0"/>
            </a:rPr>
            <a:t>FILTER PANEL</a:t>
          </a:r>
          <a:endParaRPr lang="en-IN" sz="1200" b="1">
            <a:solidFill>
              <a:schemeClr val="bg2">
                <a:lumMod val="25000"/>
              </a:schemeClr>
            </a:solidFill>
            <a:latin typeface="Aptos Display" panose="020B0004020202020204" pitchFamily="34" charset="0"/>
          </a:endParaRPr>
        </a:p>
      </xdr:txBody>
    </xdr:sp>
    <xdr:clientData/>
  </xdr:twoCellAnchor>
  <xdr:twoCellAnchor editAs="oneCell">
    <xdr:from>
      <xdr:col>2</xdr:col>
      <xdr:colOff>74798</xdr:colOff>
      <xdr:row>15</xdr:row>
      <xdr:rowOff>26277</xdr:rowOff>
    </xdr:from>
    <xdr:to>
      <xdr:col>4</xdr:col>
      <xdr:colOff>592665</xdr:colOff>
      <xdr:row>22</xdr:row>
      <xdr:rowOff>91187</xdr:rowOff>
    </xdr:to>
    <mc:AlternateContent xmlns:mc="http://schemas.openxmlformats.org/markup-compatibility/2006" xmlns:a14="http://schemas.microsoft.com/office/drawing/2010/main">
      <mc:Choice Requires="a14">
        <xdr:graphicFrame macro="">
          <xdr:nvGraphicFramePr>
            <xdr:cNvPr id="69" name="Outlet Location Type 1">
              <a:extLst>
                <a:ext uri="{FF2B5EF4-FFF2-40B4-BE49-F238E27FC236}">
                  <a16:creationId xmlns:a16="http://schemas.microsoft.com/office/drawing/2014/main" id="{FF8B1AE8-9CCB-4F41-8B9B-1C47A3778E4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10650" y="2989610"/>
              <a:ext cx="1853719"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65852</xdr:colOff>
      <xdr:row>21</xdr:row>
      <xdr:rowOff>167387</xdr:rowOff>
    </xdr:from>
    <xdr:to>
      <xdr:col>4</xdr:col>
      <xdr:colOff>586561</xdr:colOff>
      <xdr:row>34</xdr:row>
      <xdr:rowOff>9406</xdr:rowOff>
    </xdr:to>
    <mc:AlternateContent xmlns:mc="http://schemas.openxmlformats.org/markup-compatibility/2006" xmlns:a14="http://schemas.microsoft.com/office/drawing/2010/main">
      <mc:Choice Requires="a14">
        <xdr:graphicFrame macro="">
          <xdr:nvGraphicFramePr>
            <xdr:cNvPr id="70" name="Item Type 1">
              <a:extLst>
                <a:ext uri="{FF2B5EF4-FFF2-40B4-BE49-F238E27FC236}">
                  <a16:creationId xmlns:a16="http://schemas.microsoft.com/office/drawing/2014/main" id="{687E5302-F1BD-4817-8750-8347CE611D8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1704" y="4316054"/>
              <a:ext cx="1856561" cy="2410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bhatt" refreshedDate="45984.602091898145" createdVersion="8" refreshedVersion="8" minRefreshableVersion="3" recordCount="8523" xr:uid="{A8F6FCE8-B9BE-49AB-8582-B388EE3E0EFE}">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17754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3C4BD1-13B4-4A0D-AB47-30AAB39F2EB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30">
  <location ref="I32:J36" firstHeaderRow="1" firstDataRow="1" firstDataCol="1"/>
  <pivotFields count="13">
    <pivotField showAll="0"/>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 Type" fld="3" subtotal="count" baseField="0" baseItem="0" numFmtId="1"/>
  </dataFields>
  <formats count="19">
    <format dxfId="837">
      <pivotArea type="all" dataOnly="0" outline="0" fieldPosition="0"/>
    </format>
    <format dxfId="836">
      <pivotArea outline="0" collapsedLevelsAreSubtotals="1" fieldPosition="0"/>
    </format>
    <format dxfId="835">
      <pivotArea outline="0" collapsedLevelsAreSubtotals="1" fieldPosition="0"/>
    </format>
    <format dxfId="834">
      <pivotArea type="all" dataOnly="0" outline="0" fieldPosition="0"/>
    </format>
    <format dxfId="833">
      <pivotArea outline="0" collapsedLevelsAreSubtotals="1" fieldPosition="0"/>
    </format>
    <format dxfId="832">
      <pivotArea dataOnly="0" labelOnly="1" fieldPosition="0">
        <references count="1">
          <reference field="8" count="0"/>
        </references>
      </pivotArea>
    </format>
    <format dxfId="831">
      <pivotArea dataOnly="0" labelOnly="1" outline="0" axis="axisValues" fieldPosition="0"/>
    </format>
    <format dxfId="830">
      <pivotArea type="all" dataOnly="0" outline="0" fieldPosition="0"/>
    </format>
    <format dxfId="829">
      <pivotArea outline="0" collapsedLevelsAreSubtotals="1" fieldPosition="0"/>
    </format>
    <format dxfId="828">
      <pivotArea dataOnly="0" labelOnly="1" fieldPosition="0">
        <references count="1">
          <reference field="8" count="0"/>
        </references>
      </pivotArea>
    </format>
    <format dxfId="827">
      <pivotArea dataOnly="0" labelOnly="1" outline="0" axis="axisValues" fieldPosition="0"/>
    </format>
    <format dxfId="826">
      <pivotArea type="all" dataOnly="0" outline="0" fieldPosition="0"/>
    </format>
    <format dxfId="825">
      <pivotArea outline="0" collapsedLevelsAreSubtotals="1" fieldPosition="0"/>
    </format>
    <format dxfId="824">
      <pivotArea dataOnly="0" labelOnly="1" fieldPosition="0">
        <references count="1">
          <reference field="8" count="0"/>
        </references>
      </pivotArea>
    </format>
    <format dxfId="823">
      <pivotArea dataOnly="0" labelOnly="1" outline="0" axis="axisValues" fieldPosition="0"/>
    </format>
    <format dxfId="822">
      <pivotArea type="all" dataOnly="0" outline="0" fieldPosition="0"/>
    </format>
    <format dxfId="821">
      <pivotArea outline="0" collapsedLevelsAreSubtotals="1" fieldPosition="0"/>
    </format>
    <format dxfId="820">
      <pivotArea dataOnly="0" labelOnly="1" fieldPosition="0">
        <references count="1">
          <reference field="8" count="0"/>
        </references>
      </pivotArea>
    </format>
    <format dxfId="819">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83638-FD0C-4D65-9038-7C2C3F1BC86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0">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6"/>
  </dataFields>
  <formats count="3">
    <format dxfId="840">
      <pivotArea type="all" dataOnly="0" outline="0" fieldPosition="0"/>
    </format>
    <format dxfId="839">
      <pivotArea outline="0" collapsedLevelsAreSubtotals="1" fieldPosition="0"/>
    </format>
    <format dxfId="838">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9"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0E842-B288-4B23-BD18-857482EB699A}"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23">
  <location ref="I21:J2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1">
    <format dxfId="851">
      <pivotArea type="all" dataOnly="0" outline="0" fieldPosition="0"/>
    </format>
    <format dxfId="850">
      <pivotArea outline="0" collapsedLevelsAreSubtotals="1" fieldPosition="0"/>
    </format>
    <format dxfId="849">
      <pivotArea outline="0" collapsedLevelsAreSubtotals="1" fieldPosition="0"/>
    </format>
    <format dxfId="848">
      <pivotArea type="all" dataOnly="0" outline="0" fieldPosition="0"/>
    </format>
    <format dxfId="847">
      <pivotArea outline="0" collapsedLevelsAreSubtotals="1" fieldPosition="0"/>
    </format>
    <format dxfId="846">
      <pivotArea dataOnly="0" labelOnly="1" fieldPosition="0">
        <references count="1">
          <reference field="8" count="0"/>
        </references>
      </pivotArea>
    </format>
    <format dxfId="845">
      <pivotArea dataOnly="0" labelOnly="1" outline="0" axis="axisValues" fieldPosition="0"/>
    </format>
    <format dxfId="844">
      <pivotArea type="all" dataOnly="0" outline="0" fieldPosition="0"/>
    </format>
    <format dxfId="843">
      <pivotArea outline="0" collapsedLevelsAreSubtotals="1" fieldPosition="0"/>
    </format>
    <format dxfId="842">
      <pivotArea dataOnly="0" labelOnly="1" fieldPosition="0">
        <references count="1">
          <reference field="8" count="0"/>
        </references>
      </pivotArea>
    </format>
    <format dxfId="841">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CD259-54E3-4584-AE94-F212A8BF28E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8">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6"/>
  </dataFields>
  <formats count="13">
    <format dxfId="864">
      <pivotArea type="all" dataOnly="0" outline="0" fieldPosition="0"/>
    </format>
    <format dxfId="863">
      <pivotArea outline="0" collapsedLevelsAreSubtotals="1" fieldPosition="0"/>
    </format>
    <format dxfId="862">
      <pivotArea type="all" dataOnly="0" outline="0" fieldPosition="0"/>
    </format>
    <format dxfId="861">
      <pivotArea outline="0" collapsedLevelsAreSubtotals="1" fieldPosition="0"/>
    </format>
    <format dxfId="860">
      <pivotArea dataOnly="0" labelOnly="1" grandRow="1" outline="0" fieldPosition="0"/>
    </format>
    <format dxfId="859">
      <pivotArea dataOnly="0" labelOnly="1" outline="0" axis="axisValues" fieldPosition="0"/>
    </format>
    <format dxfId="858">
      <pivotArea outline="0" collapsedLevelsAreSubtotals="1" fieldPosition="0"/>
    </format>
    <format dxfId="857">
      <pivotArea type="all" dataOnly="0" outline="0" fieldPosition="0"/>
    </format>
    <format dxfId="856">
      <pivotArea outline="0" collapsedLevelsAreSubtotals="1" fieldPosition="0"/>
    </format>
    <format dxfId="855">
      <pivotArea type="origin" dataOnly="0" labelOnly="1" outline="0" fieldPosition="0"/>
    </format>
    <format dxfId="854">
      <pivotArea type="topRight" dataOnly="0" labelOnly="1" outline="0" fieldPosition="0"/>
    </format>
    <format dxfId="853">
      <pivotArea dataOnly="0" labelOnly="1" fieldPosition="0">
        <references count="1">
          <reference field="6" count="0"/>
        </references>
      </pivotArea>
    </format>
    <format dxfId="852">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19" format="0" series="1">
      <pivotArea type="data" outline="0" fieldPosition="0">
        <references count="2">
          <reference field="4294967294" count="1" selected="0">
            <x v="0"/>
          </reference>
          <reference field="0" count="1" selected="0">
            <x v="1"/>
          </reference>
        </references>
      </pivotArea>
    </chartFormat>
    <chartFormat chart="19" format="1" series="1">
      <pivotArea type="data" outline="0" fieldPosition="0">
        <references count="2">
          <reference field="4294967294" count="1" selected="0">
            <x v="0"/>
          </reference>
          <reference field="0" count="1" selected="0">
            <x v="0"/>
          </reference>
        </references>
      </pivotArea>
    </chartFormat>
    <chartFormat chart="27" format="4" series="1">
      <pivotArea type="data" outline="0" fieldPosition="0">
        <references count="2">
          <reference field="4294967294" count="1" selected="0">
            <x v="0"/>
          </reference>
          <reference field="0" count="1" selected="0">
            <x v="0"/>
          </reference>
        </references>
      </pivotArea>
    </chartFormat>
    <chartFormat chart="27" format="5" series="1">
      <pivotArea type="data" outline="0" fieldPosition="0">
        <references count="2">
          <reference field="4294967294" count="1" selected="0">
            <x v="0"/>
          </reference>
          <reference field="0" count="1" selected="0">
            <x v="1"/>
          </reference>
        </references>
      </pivotArea>
    </chartFormat>
    <chartFormat chart="27" format="6">
      <pivotArea type="data" outline="0" fieldPosition="0">
        <references count="3">
          <reference field="4294967294" count="1" selected="0">
            <x v="0"/>
          </reference>
          <reference field="0" count="1" selected="0">
            <x v="1"/>
          </reference>
          <reference field="6" count="1" selected="0">
            <x v="2"/>
          </reference>
        </references>
      </pivotArea>
    </chartFormat>
    <chartFormat chart="27" format="7">
      <pivotArea type="data" outline="0" fieldPosition="0">
        <references count="3">
          <reference field="4294967294" count="1" selected="0">
            <x v="0"/>
          </reference>
          <reference field="0" count="1" selected="0">
            <x v="1"/>
          </reference>
          <reference field="6" count="1" selected="0">
            <x v="1"/>
          </reference>
        </references>
      </pivotArea>
    </chartFormat>
    <chartFormat chart="27"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B1027D-2894-4127-BE80-294E2DA974A3}"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3">
  <location ref="A52:B6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7">
    <format dxfId="871">
      <pivotArea type="all" dataOnly="0" outline="0" fieldPosition="0"/>
    </format>
    <format dxfId="870">
      <pivotArea outline="0" collapsedLevelsAreSubtotals="1" fieldPosition="0"/>
    </format>
    <format dxfId="869">
      <pivotArea outline="0" collapsedLevelsAreSubtotals="1" fieldPosition="0"/>
    </format>
    <format dxfId="868">
      <pivotArea type="all" dataOnly="0" outline="0" fieldPosition="0"/>
    </format>
    <format dxfId="867">
      <pivotArea outline="0" collapsedLevelsAreSubtotals="1" fieldPosition="0"/>
    </format>
    <format dxfId="866">
      <pivotArea dataOnly="0" labelOnly="1" fieldPosition="0">
        <references count="1">
          <reference field="4" count="0"/>
        </references>
      </pivotArea>
    </format>
    <format dxfId="865">
      <pivotArea dataOnly="0" labelOnly="1" outline="0" axis="axisValues" fieldPosition="0"/>
    </format>
  </formats>
  <chartFormats count="11">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1"/>
          </reference>
        </references>
      </pivotArea>
    </chartFormat>
    <chartFormat chart="11" format="4">
      <pivotArea type="data" outline="0" fieldPosition="0">
        <references count="2">
          <reference field="4294967294" count="1" selected="0">
            <x v="0"/>
          </reference>
          <reference field="4" count="1" selected="0">
            <x v="2"/>
          </reference>
        </references>
      </pivotArea>
    </chartFormat>
    <chartFormat chart="11" format="5">
      <pivotArea type="data" outline="0" fieldPosition="0">
        <references count="2">
          <reference field="4294967294" count="1" selected="0">
            <x v="0"/>
          </reference>
          <reference field="4" count="1" selected="0">
            <x v="3"/>
          </reference>
        </references>
      </pivotArea>
    </chartFormat>
    <chartFormat chart="11" format="6">
      <pivotArea type="data" outline="0" fieldPosition="0">
        <references count="2">
          <reference field="4294967294" count="1" selected="0">
            <x v="0"/>
          </reference>
          <reference field="4" count="1" selected="0">
            <x v="4"/>
          </reference>
        </references>
      </pivotArea>
    </chartFormat>
    <chartFormat chart="11" format="7">
      <pivotArea type="data" outline="0" fieldPosition="0">
        <references count="2">
          <reference field="4294967294" count="1" selected="0">
            <x v="0"/>
          </reference>
          <reference field="4" count="1" selected="0">
            <x v="5"/>
          </reference>
        </references>
      </pivotArea>
    </chartFormat>
    <chartFormat chart="11" format="8">
      <pivotArea type="data" outline="0" fieldPosition="0">
        <references count="2">
          <reference field="4294967294" count="1" selected="0">
            <x v="0"/>
          </reference>
          <reference field="4" count="1" selected="0">
            <x v="6"/>
          </reference>
        </references>
      </pivotArea>
    </chartFormat>
    <chartFormat chart="11" format="9">
      <pivotArea type="data" outline="0" fieldPosition="0">
        <references count="2">
          <reference field="4294967294" count="1" selected="0">
            <x v="0"/>
          </reference>
          <reference field="4" count="1" selected="0">
            <x v="7"/>
          </reference>
        </references>
      </pivotArea>
    </chartFormat>
    <chartFormat chart="11" format="10">
      <pivotArea type="data" outline="0" fieldPosition="0">
        <references count="2">
          <reference field="4294967294" count="1" selected="0">
            <x v="0"/>
          </reference>
          <reference field="4" count="1" selected="0">
            <x v="8"/>
          </reference>
        </references>
      </pivotArea>
    </chartFormat>
    <chartFormat chart="11"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AD8C03-82C5-4D13-8039-B9ED04E6BC4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9">
  <location ref="I13:J1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880">
      <pivotArea type="all" dataOnly="0" outline="0" fieldPosition="0"/>
    </format>
    <format dxfId="879">
      <pivotArea outline="0" collapsedLevelsAreSubtotals="1" fieldPosition="0"/>
    </format>
    <format dxfId="878">
      <pivotArea outline="0" collapsedLevelsAreSubtotals="1" fieldPosition="0"/>
    </format>
    <format dxfId="877">
      <pivotArea type="all" dataOnly="0" outline="0" fieldPosition="0"/>
    </format>
    <format dxfId="876">
      <pivotArea dataOnly="0" labelOnly="1" fieldPosition="0">
        <references count="1">
          <reference field="8" count="0"/>
        </references>
      </pivotArea>
    </format>
    <format dxfId="875">
      <pivotArea type="all" dataOnly="0" outline="0" fieldPosition="0"/>
    </format>
    <format dxfId="874">
      <pivotArea dataOnly="0" labelOnly="1" fieldPosition="0">
        <references count="1">
          <reference field="8" count="0"/>
        </references>
      </pivotArea>
    </format>
    <format dxfId="873">
      <pivotArea outline="0" collapsedLevelsAreSubtotals="1" fieldPosition="0"/>
    </format>
    <format dxfId="872">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2C7204-E582-453A-B9BB-ACE3BA09B97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6">
  <location ref="A32:B48"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0">
    <format dxfId="890">
      <pivotArea type="all" dataOnly="0" outline="0" fieldPosition="0"/>
    </format>
    <format dxfId="889">
      <pivotArea outline="0" collapsedLevelsAreSubtotals="1" fieldPosition="0"/>
    </format>
    <format dxfId="888">
      <pivotArea collapsedLevelsAreSubtotals="1" fieldPosition="0">
        <references count="1">
          <reference field="3" count="1">
            <x v="0"/>
          </reference>
        </references>
      </pivotArea>
    </format>
    <format dxfId="887">
      <pivotArea collapsedLevelsAreSubtotals="1" fieldPosition="0">
        <references count="1">
          <reference field="3" count="15">
            <x v="1"/>
            <x v="2"/>
            <x v="3"/>
            <x v="4"/>
            <x v="5"/>
            <x v="6"/>
            <x v="7"/>
            <x v="8"/>
            <x v="9"/>
            <x v="10"/>
            <x v="11"/>
            <x v="12"/>
            <x v="13"/>
            <x v="14"/>
            <x v="15"/>
          </reference>
        </references>
      </pivotArea>
    </format>
    <format dxfId="886">
      <pivotArea outline="0" collapsedLevelsAreSubtotals="1" fieldPosition="0"/>
    </format>
    <format dxfId="885">
      <pivotArea type="all" dataOnly="0" outline="0" fieldPosition="0"/>
    </format>
    <format dxfId="884">
      <pivotArea outline="0" collapsedLevelsAreSubtotals="1" fieldPosition="0"/>
    </format>
    <format dxfId="883">
      <pivotArea dataOnly="0" labelOnly="1" fieldPosition="0">
        <references count="1">
          <reference field="3" count="0"/>
        </references>
      </pivotArea>
    </format>
    <format dxfId="882">
      <pivotArea dataOnly="0" labelOnly="1" outline="0" axis="axisValues" fieldPosition="0"/>
    </format>
    <format dxfId="88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72C212-75AA-4E96-BF3E-06ACCA8CFF7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0">
  <location ref="I3:J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7">
    <format dxfId="897">
      <pivotArea type="all" dataOnly="0" outline="0" fieldPosition="0"/>
    </format>
    <format dxfId="896">
      <pivotArea outline="0" collapsedLevelsAreSubtotals="1" fieldPosition="0"/>
    </format>
    <format dxfId="895">
      <pivotArea outline="0" collapsedLevelsAreSubtotals="1" fieldPosition="0"/>
    </format>
    <format dxfId="894">
      <pivotArea type="all" dataOnly="0" outline="0" fieldPosition="0"/>
    </format>
    <format dxfId="893">
      <pivotArea outline="0" collapsedLevelsAreSubtotals="1" fieldPosition="0"/>
    </format>
    <format dxfId="892">
      <pivotArea dataOnly="0" labelOnly="1" fieldPosition="0">
        <references count="1">
          <reference field="6" count="0"/>
        </references>
      </pivotArea>
    </format>
    <format dxfId="8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6EF3DF-D0A5-4BF4-A5B5-0805012E889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4">
  <location ref="A65:B6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2" fld="11" baseField="0" baseItem="0" numFmtId="167"/>
  </dataFields>
  <formats count="5">
    <format dxfId="902">
      <pivotArea type="all" dataOnly="0" outline="0" fieldPosition="0"/>
    </format>
    <format dxfId="901">
      <pivotArea outline="0" collapsedLevelsAreSubtotals="1" fieldPosition="0"/>
    </format>
    <format dxfId="900">
      <pivotArea dataOnly="0" labelOnly="1" fieldPosition="0">
        <references count="1">
          <reference field="7" count="0"/>
        </references>
      </pivotArea>
    </format>
    <format dxfId="899">
      <pivotArea dataOnly="0" labelOnly="1" outline="0" axis="axisValues" fieldPosition="0"/>
    </format>
    <format dxfId="898">
      <pivotArea outline="0" fieldPosition="0">
        <references count="1">
          <reference field="4294967294" count="1">
            <x v="0"/>
          </reference>
        </references>
      </pivotArea>
    </format>
  </formats>
  <chartFormats count="6">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7"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 chart="1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ABBE4D-7206-4A07-A382-225ADF17968F}"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0">
  <location ref="A3:D4" firstHeaderRow="0" firstDataRow="1" firstDataCol="0"/>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NO" fld="1" baseField="0" baseItem="0" numFmtId="169"/>
    <dataField name="Average of Rating" fld="12" subtotal="average" baseField="0" baseItem="1" numFmtId="1"/>
    <dataField name="Average of Sales" fld="11" subtotal="average" baseField="0" baseItem="1" numFmtId="1"/>
    <dataField name="Count of S.NO2" fld="1" subtotal="count" baseField="0" baseItem="2"/>
  </dataFields>
  <formats count="7">
    <format dxfId="909">
      <pivotArea type="all" dataOnly="0" outline="0" fieldPosition="0"/>
    </format>
    <format dxfId="908">
      <pivotArea outline="0" collapsedLevelsAreSubtotals="1" fieldPosition="0"/>
    </format>
    <format dxfId="907">
      <pivotArea outline="0" collapsedLevelsAreSubtotals="1" fieldPosition="0"/>
    </format>
    <format dxfId="906">
      <pivotArea outline="0" fieldPosition="0">
        <references count="1">
          <reference field="4294967294" count="1">
            <x v="1"/>
          </reference>
        </references>
      </pivotArea>
    </format>
    <format dxfId="905">
      <pivotArea outline="0" collapsedLevelsAreSubtotals="1" fieldPosition="0">
        <references count="1">
          <reference field="4294967294" count="1" selected="0">
            <x v="2"/>
          </reference>
        </references>
      </pivotArea>
    </format>
    <format dxfId="904">
      <pivotArea outline="0" collapsedLevelsAreSubtotals="1" fieldPosition="0">
        <references count="1">
          <reference field="4294967294" count="1" selected="0">
            <x v="3"/>
          </reference>
        </references>
      </pivotArea>
    </format>
    <format dxfId="90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C2A125C-6297-449A-85E5-E62E8CE4D012}" sourceName="Outlet Size">
  <pivotTables>
    <pivotTable tabId="2" name="PivotTable6"/>
    <pivotTable tabId="2" name="PivotTable7"/>
    <pivotTable tabId="2" name="PivotTable11"/>
    <pivotTable tabId="2" name="PivotTable12"/>
    <pivotTable tabId="2" name="PivotTable3"/>
    <pivotTable tabId="2" name="PivotTable4"/>
    <pivotTable tabId="2" name="PivotTable8"/>
    <pivotTable tabId="2" name="PivotTable9"/>
    <pivotTable tabId="2" name="PivotTable10"/>
    <pivotTable tabId="2" name="PivotTable13"/>
  </pivotTables>
  <data>
    <tabular pivotCacheId="10177543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844512F-AF6C-4E56-BF5D-DB999B361C50}" sourceName="Outlet Location Type">
  <pivotTables>
    <pivotTable tabId="2" name="PivotTable12"/>
    <pivotTable tabId="2" name="PivotTable10"/>
    <pivotTable tabId="2" name="PivotTable11"/>
    <pivotTable tabId="2" name="PivotTable7"/>
    <pivotTable tabId="2" name="PivotTable8"/>
    <pivotTable tabId="2" name="PivotTable9"/>
    <pivotTable tabId="2" name="PivotTable13"/>
    <pivotTable tabId="2" name="PivotTable3"/>
    <pivotTable tabId="2" name="PivotTable4"/>
    <pivotTable tabId="2" name="PivotTable6"/>
  </pivotTables>
  <data>
    <tabular pivotCacheId="101775437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ACEFA0E-99D6-4C0E-9786-7E591952C9D5}" sourceName="Item Type">
  <pivotTables>
    <pivotTable tabId="2" name="PivotTable3"/>
    <pivotTable tabId="2" name="PivotTable10"/>
    <pivotTable tabId="2" name="PivotTable11"/>
    <pivotTable tabId="2" name="PivotTable12"/>
    <pivotTable tabId="2" name="PivotTable4"/>
    <pivotTable tabId="2" name="PivotTable6"/>
    <pivotTable tabId="2" name="PivotTable7"/>
    <pivotTable tabId="2" name="PivotTable8"/>
    <pivotTable tabId="2" name="PivotTable9"/>
    <pivotTable tabId="2" name="PivotTable13"/>
  </pivotTables>
  <data>
    <tabular pivotCacheId="101775437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0D913F2-B8BD-4693-82C2-2D2E3B4AF9BD}" cache="Slicer_Outlet_Size" caption="Outlet Size" rowHeight="260350"/>
  <slicer name="Outlet Size 2" xr10:uid="{BF755E4B-44D7-4E35-BA9C-A66B6CA12600}" cache="Slicer_Outlet_Size" caption="Outlet Size" style=" BlinkI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40C344C-95F6-491E-9F31-D5242DF93349}" cache="Slicer_Outlet_Size" caption="Outlet Size" style=" BlinkIT" rowHeight="260350"/>
  <slicer name="Outlet Location Type 1" xr10:uid="{3C715A98-0412-4F62-B3CD-60C88D959E43}" cache="Slicer_Outlet_Location_Type" caption="Outlet Location " style=" BlinkIT" rowHeight="260350"/>
  <slicer name="Item Type 1" xr10:uid="{E7ED42BE-7C7D-425F-9219-61E9196E8A57}" cache="Slicer_Item_Type" caption="Item Type" startItem="4" style=" 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12C757C-942B-482A-9F18-5392E1A965DF}"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8179-F326-4F42-BF61-38C78CA1AFDE}">
  <dimension ref="A1:Q8595"/>
  <sheetViews>
    <sheetView workbookViewId="0">
      <selection activeCell="A7" sqref="A7"/>
    </sheetView>
  </sheetViews>
  <sheetFormatPr defaultRowHeight="15.6" x14ac:dyDescent="0.3"/>
  <cols>
    <col min="1" max="1" width="11.3984375" bestFit="1" customWidth="1"/>
    <col min="2" max="3" width="8.3984375" bestFit="1" customWidth="1"/>
    <col min="4" max="4" width="13.8984375" bestFit="1" customWidth="1"/>
    <col min="9" max="9" width="5.59765625" bestFit="1" customWidth="1"/>
    <col min="10" max="10" width="11.3984375" bestFit="1" customWidth="1"/>
    <col min="11" max="11" width="11.296875" bestFit="1" customWidth="1"/>
  </cols>
  <sheetData>
    <row r="1" spans="1:17" ht="16.2" thickBot="1" x14ac:dyDescent="0.35"/>
    <row r="2" spans="1:17" ht="16.2" thickBot="1" x14ac:dyDescent="0.35">
      <c r="A2" s="54" t="s">
        <v>1617</v>
      </c>
      <c r="B2" s="55"/>
      <c r="C2" s="55"/>
      <c r="D2" s="56"/>
      <c r="I2" s="52" t="s">
        <v>1624</v>
      </c>
      <c r="J2" s="53"/>
      <c r="K2" s="53"/>
      <c r="L2" s="53"/>
      <c r="M2" s="29"/>
      <c r="N2" s="29"/>
      <c r="O2" s="5"/>
      <c r="P2" s="5"/>
      <c r="Q2" s="6"/>
    </row>
    <row r="3" spans="1:17" ht="16.2" thickBot="1" x14ac:dyDescent="0.35">
      <c r="A3" s="9" t="s">
        <v>1626</v>
      </c>
      <c r="B3" s="10" t="s">
        <v>1612</v>
      </c>
      <c r="C3" s="10" t="s">
        <v>1613</v>
      </c>
      <c r="D3" s="11" t="s">
        <v>1629</v>
      </c>
      <c r="I3" s="9"/>
      <c r="J3" s="19" t="s">
        <v>1610</v>
      </c>
      <c r="L3" s="38" t="s">
        <v>1625</v>
      </c>
      <c r="M3" s="11" t="str">
        <f>J3</f>
        <v>Sum of Sales</v>
      </c>
      <c r="Q3" s="2"/>
    </row>
    <row r="4" spans="1:17" ht="16.2" thickBot="1" x14ac:dyDescent="0.35">
      <c r="A4" s="50">
        <v>36325026</v>
      </c>
      <c r="B4" s="49">
        <v>3.9658570925731196</v>
      </c>
      <c r="C4" s="49">
        <v>140.99278338613203</v>
      </c>
      <c r="D4" s="57">
        <v>8523</v>
      </c>
      <c r="I4" s="14" t="s">
        <v>21</v>
      </c>
      <c r="J4" s="20">
        <v>472133.03319999954</v>
      </c>
      <c r="L4" s="48" t="str">
        <f>I4</f>
        <v>Tier 3</v>
      </c>
      <c r="M4" s="36">
        <f>GETPIVOTDATA("Sales",$I$3,"Outlet Location Type",I4)</f>
        <v>472133.03319999954</v>
      </c>
      <c r="Q4" s="2"/>
    </row>
    <row r="5" spans="1:17" ht="16.2" thickBot="1" x14ac:dyDescent="0.35">
      <c r="I5" s="15" t="s">
        <v>34</v>
      </c>
      <c r="J5" s="39">
        <v>393150.64759999956</v>
      </c>
      <c r="L5" s="48" t="str">
        <f>I5</f>
        <v>Tier 2</v>
      </c>
      <c r="M5" s="36">
        <f>GETPIVOTDATA("Sales",$I$3,"Outlet Location Type",I5)</f>
        <v>393150.64759999956</v>
      </c>
      <c r="Q5" s="2"/>
    </row>
    <row r="6" spans="1:17" ht="16.2" thickBot="1" x14ac:dyDescent="0.35">
      <c r="A6" s="9" t="s">
        <v>1614</v>
      </c>
      <c r="B6" s="10" t="s">
        <v>1615</v>
      </c>
      <c r="C6" s="10" t="s">
        <v>1616</v>
      </c>
      <c r="D6" s="11" t="s">
        <v>1611</v>
      </c>
      <c r="I6" s="16" t="s">
        <v>14</v>
      </c>
      <c r="J6" s="21">
        <v>336397.81199999945</v>
      </c>
      <c r="L6" s="40" t="str">
        <f>I6</f>
        <v>Tier 1</v>
      </c>
      <c r="M6" s="37">
        <f>GETPIVOTDATA("Sales",$I$3,"Outlet Location Type",I6)</f>
        <v>336397.81199999945</v>
      </c>
      <c r="Q6" s="2"/>
    </row>
    <row r="7" spans="1:17" ht="16.2" thickBot="1" x14ac:dyDescent="0.35">
      <c r="A7" s="51">
        <f>GETPIVOTDATA("Sum of S.NO",$A$3)</f>
        <v>36325026</v>
      </c>
      <c r="B7" s="7">
        <f>GETPIVOTDATA("Average of Sales",$A$3)</f>
        <v>140.99278338613203</v>
      </c>
      <c r="C7" s="8">
        <f>GETPIVOTDATA("Average of Rating",$A$3)</f>
        <v>3.9658570925731196</v>
      </c>
      <c r="D7" s="3">
        <f>GETPIVOTDATA("Count of S.NO2",$A$3)</f>
        <v>8523</v>
      </c>
      <c r="I7" s="1"/>
      <c r="Q7" s="2"/>
    </row>
    <row r="8" spans="1:17" ht="16.2" thickBot="1" x14ac:dyDescent="0.35">
      <c r="A8" s="17"/>
      <c r="B8" s="18"/>
      <c r="C8" s="18"/>
      <c r="D8" s="3"/>
      <c r="I8" s="1"/>
      <c r="Q8" s="2"/>
    </row>
    <row r="9" spans="1:17" ht="16.2" thickBot="1" x14ac:dyDescent="0.35">
      <c r="I9" s="1"/>
      <c r="Q9" s="2"/>
    </row>
    <row r="10" spans="1:17" ht="16.2" thickBot="1" x14ac:dyDescent="0.35">
      <c r="A10" s="52" t="s">
        <v>1618</v>
      </c>
      <c r="B10" s="53"/>
      <c r="C10" s="53"/>
      <c r="D10" s="53"/>
      <c r="E10" s="29"/>
      <c r="F10" s="30"/>
      <c r="I10" s="17"/>
      <c r="J10" s="18"/>
      <c r="K10" s="18"/>
      <c r="L10" s="18"/>
      <c r="M10" s="18"/>
      <c r="N10" s="18"/>
      <c r="O10" s="18"/>
      <c r="P10" s="18"/>
      <c r="Q10" s="3"/>
    </row>
    <row r="11" spans="1:17" ht="16.2" thickBot="1" x14ac:dyDescent="0.35">
      <c r="A11" s="9"/>
      <c r="B11" s="11" t="s">
        <v>1610</v>
      </c>
      <c r="F11" s="2"/>
    </row>
    <row r="12" spans="1:17" ht="16.2" thickBot="1" x14ac:dyDescent="0.35">
      <c r="A12" s="12" t="s">
        <v>17</v>
      </c>
      <c r="B12" s="20">
        <v>776319.68840000057</v>
      </c>
      <c r="F12" s="2"/>
      <c r="I12" s="52" t="s">
        <v>1628</v>
      </c>
      <c r="J12" s="53"/>
      <c r="K12" s="53"/>
      <c r="L12" s="53"/>
      <c r="M12" s="29"/>
      <c r="N12" s="30"/>
    </row>
    <row r="13" spans="1:17" ht="16.2" thickBot="1" x14ac:dyDescent="0.35">
      <c r="A13" s="13" t="s">
        <v>10</v>
      </c>
      <c r="B13" s="21">
        <v>425361.8043999995</v>
      </c>
      <c r="F13" s="2"/>
      <c r="I13" s="9"/>
      <c r="J13" s="19" t="s">
        <v>1610</v>
      </c>
      <c r="N13" s="2"/>
    </row>
    <row r="14" spans="1:17" x14ac:dyDescent="0.3">
      <c r="F14" s="2"/>
      <c r="I14" s="14" t="s">
        <v>40</v>
      </c>
      <c r="J14" s="33">
        <v>151939.149</v>
      </c>
      <c r="N14" s="2"/>
    </row>
    <row r="15" spans="1:17" x14ac:dyDescent="0.3">
      <c r="A15" s="1"/>
      <c r="F15" s="2"/>
      <c r="I15" s="15" t="s">
        <v>46</v>
      </c>
      <c r="J15" s="34">
        <v>130714.67460000006</v>
      </c>
      <c r="N15" s="2"/>
    </row>
    <row r="16" spans="1:17" x14ac:dyDescent="0.3">
      <c r="A16" s="1"/>
      <c r="F16" s="2"/>
      <c r="I16" s="15" t="s">
        <v>22</v>
      </c>
      <c r="J16" s="34">
        <v>131477.77639999994</v>
      </c>
      <c r="N16" s="2"/>
    </row>
    <row r="17" spans="1:14" ht="16.2" thickBot="1" x14ac:dyDescent="0.35">
      <c r="A17" s="1"/>
      <c r="F17" s="2"/>
      <c r="I17" s="16" t="s">
        <v>16</v>
      </c>
      <c r="J17" s="35">
        <v>787549.89280000131</v>
      </c>
      <c r="N17" s="2"/>
    </row>
    <row r="18" spans="1:14" ht="16.2" thickBot="1" x14ac:dyDescent="0.35">
      <c r="A18" s="17"/>
      <c r="B18" s="18"/>
      <c r="C18" s="18"/>
      <c r="D18" s="18"/>
      <c r="E18" s="18"/>
      <c r="F18" s="3"/>
      <c r="I18" s="1"/>
      <c r="N18" s="2"/>
    </row>
    <row r="19" spans="1:14" x14ac:dyDescent="0.3">
      <c r="I19" s="1"/>
      <c r="N19" s="2"/>
    </row>
    <row r="20" spans="1:14" ht="16.2" thickBot="1" x14ac:dyDescent="0.35">
      <c r="I20" s="1"/>
      <c r="N20" s="2"/>
    </row>
    <row r="21" spans="1:14" ht="16.2" thickBot="1" x14ac:dyDescent="0.35">
      <c r="A21" s="52" t="s">
        <v>1620</v>
      </c>
      <c r="B21" s="53"/>
      <c r="C21" s="53"/>
      <c r="D21" s="53"/>
      <c r="E21" s="29"/>
      <c r="F21" s="30"/>
      <c r="I21" s="9"/>
      <c r="J21" s="19" t="s">
        <v>1613</v>
      </c>
      <c r="N21" s="2"/>
    </row>
    <row r="22" spans="1:14" ht="16.2" thickBot="1" x14ac:dyDescent="0.35">
      <c r="A22" s="31" t="s">
        <v>1610</v>
      </c>
      <c r="B22" s="10"/>
      <c r="C22" s="19"/>
      <c r="F22" s="2"/>
      <c r="I22" s="14" t="s">
        <v>40</v>
      </c>
      <c r="J22" s="41">
        <v>140.29468975069253</v>
      </c>
      <c r="N22" s="2"/>
    </row>
    <row r="23" spans="1:14" ht="16.2" thickBot="1" x14ac:dyDescent="0.35">
      <c r="A23" s="1"/>
      <c r="B23" s="4" t="s">
        <v>10</v>
      </c>
      <c r="C23" s="6" t="s">
        <v>17</v>
      </c>
      <c r="F23" s="2"/>
      <c r="I23" s="15" t="s">
        <v>46</v>
      </c>
      <c r="J23" s="42">
        <v>139.80179101604284</v>
      </c>
      <c r="N23" s="2"/>
    </row>
    <row r="24" spans="1:14" x14ac:dyDescent="0.3">
      <c r="A24" s="14" t="s">
        <v>14</v>
      </c>
      <c r="B24" s="24">
        <v>121349.89940000001</v>
      </c>
      <c r="C24" s="25">
        <v>215047.9126000001</v>
      </c>
      <c r="F24" s="2"/>
      <c r="I24" s="15" t="s">
        <v>22</v>
      </c>
      <c r="J24" s="42">
        <v>141.67863836206891</v>
      </c>
      <c r="N24" s="2"/>
    </row>
    <row r="25" spans="1:14" ht="16.2" thickBot="1" x14ac:dyDescent="0.35">
      <c r="A25" s="15" t="s">
        <v>34</v>
      </c>
      <c r="B25" s="26">
        <v>138685.86819999994</v>
      </c>
      <c r="C25" s="22">
        <v>254464.77940000014</v>
      </c>
      <c r="F25" s="2"/>
      <c r="I25" s="16" t="s">
        <v>16</v>
      </c>
      <c r="J25" s="43">
        <v>141.21389506903375</v>
      </c>
      <c r="N25" s="2"/>
    </row>
    <row r="26" spans="1:14" ht="16.2" thickBot="1" x14ac:dyDescent="0.35">
      <c r="A26" s="16" t="s">
        <v>21</v>
      </c>
      <c r="B26" s="27">
        <v>165326.0368</v>
      </c>
      <c r="C26" s="23">
        <v>306806.99640000012</v>
      </c>
      <c r="D26" s="18"/>
      <c r="E26" s="18"/>
      <c r="F26" s="3"/>
      <c r="I26" s="1"/>
      <c r="N26" s="2"/>
    </row>
    <row r="27" spans="1:14" x14ac:dyDescent="0.3">
      <c r="I27" s="1"/>
      <c r="N27" s="2"/>
    </row>
    <row r="28" spans="1:14" x14ac:dyDescent="0.3">
      <c r="I28" s="1"/>
      <c r="N28" s="2"/>
    </row>
    <row r="29" spans="1:14" x14ac:dyDescent="0.3">
      <c r="I29" s="1"/>
      <c r="N29" s="2"/>
    </row>
    <row r="30" spans="1:14" ht="16.2" thickBot="1" x14ac:dyDescent="0.35">
      <c r="I30" s="1"/>
      <c r="N30" s="2"/>
    </row>
    <row r="31" spans="1:14" ht="16.2" thickBot="1" x14ac:dyDescent="0.35">
      <c r="A31" s="54" t="s">
        <v>1619</v>
      </c>
      <c r="B31" s="55"/>
      <c r="C31" s="55"/>
      <c r="D31" s="55"/>
      <c r="E31" s="28"/>
      <c r="F31" s="32"/>
      <c r="I31" s="1"/>
      <c r="N31" s="2"/>
    </row>
    <row r="32" spans="1:14" ht="16.2" thickBot="1" x14ac:dyDescent="0.35">
      <c r="A32" s="9"/>
      <c r="B32" s="19" t="s">
        <v>1610</v>
      </c>
      <c r="C32" s="18"/>
      <c r="D32" s="18"/>
      <c r="E32" s="18"/>
      <c r="F32" s="3"/>
      <c r="I32" s="9"/>
      <c r="J32" s="19" t="s">
        <v>1627</v>
      </c>
      <c r="N32" s="2"/>
    </row>
    <row r="33" spans="1:14" x14ac:dyDescent="0.3">
      <c r="A33" s="14" t="s">
        <v>153</v>
      </c>
      <c r="B33" s="33">
        <v>9077.869999999999</v>
      </c>
      <c r="F33" s="2"/>
      <c r="I33" s="14" t="s">
        <v>40</v>
      </c>
      <c r="J33" s="45">
        <v>1083</v>
      </c>
      <c r="N33" s="2"/>
    </row>
    <row r="34" spans="1:14" x14ac:dyDescent="0.3">
      <c r="A34" s="15" t="s">
        <v>74</v>
      </c>
      <c r="B34" s="34">
        <v>15596.696600000001</v>
      </c>
      <c r="F34" s="2"/>
      <c r="I34" s="15" t="s">
        <v>46</v>
      </c>
      <c r="J34" s="46">
        <v>935</v>
      </c>
      <c r="N34" s="2"/>
    </row>
    <row r="35" spans="1:14" x14ac:dyDescent="0.3">
      <c r="A35" s="15" t="s">
        <v>159</v>
      </c>
      <c r="B35" s="34">
        <v>21880.027399999992</v>
      </c>
      <c r="F35" s="2"/>
      <c r="I35" s="15" t="s">
        <v>22</v>
      </c>
      <c r="J35" s="46">
        <v>928</v>
      </c>
      <c r="N35" s="2"/>
    </row>
    <row r="36" spans="1:14" ht="16.2" thickBot="1" x14ac:dyDescent="0.35">
      <c r="A36" s="15" t="s">
        <v>64</v>
      </c>
      <c r="B36" s="34">
        <v>22451.891599999999</v>
      </c>
      <c r="F36" s="2"/>
      <c r="I36" s="16" t="s">
        <v>16</v>
      </c>
      <c r="J36" s="47">
        <v>5577</v>
      </c>
      <c r="N36" s="2"/>
    </row>
    <row r="37" spans="1:14" x14ac:dyDescent="0.3">
      <c r="A37" s="15" t="s">
        <v>61</v>
      </c>
      <c r="B37" s="34">
        <v>29334.680599999996</v>
      </c>
      <c r="F37" s="2"/>
      <c r="I37" s="1"/>
      <c r="J37" s="2"/>
      <c r="N37" s="2"/>
    </row>
    <row r="38" spans="1:14" x14ac:dyDescent="0.3">
      <c r="A38" s="15" t="s">
        <v>57</v>
      </c>
      <c r="B38" s="34">
        <v>35379.119800000015</v>
      </c>
      <c r="F38" s="2"/>
      <c r="I38" s="1"/>
      <c r="J38" s="2"/>
      <c r="N38" s="2"/>
    </row>
    <row r="39" spans="1:14" ht="16.2" thickBot="1" x14ac:dyDescent="0.35">
      <c r="A39" s="15" t="s">
        <v>32</v>
      </c>
      <c r="B39" s="34">
        <v>58514.166999999987</v>
      </c>
      <c r="F39" s="2"/>
      <c r="I39" s="17"/>
      <c r="J39" s="3"/>
      <c r="K39" s="18"/>
      <c r="L39" s="3"/>
      <c r="M39" s="18"/>
      <c r="N39" s="3"/>
    </row>
    <row r="40" spans="1:14" x14ac:dyDescent="0.3">
      <c r="A40" s="15" t="s">
        <v>54</v>
      </c>
      <c r="B40" s="34">
        <v>59449.863799999992</v>
      </c>
      <c r="F40" s="2"/>
    </row>
    <row r="41" spans="1:14" x14ac:dyDescent="0.3">
      <c r="A41" s="15" t="s">
        <v>19</v>
      </c>
      <c r="B41" s="34">
        <v>68025.838800000012</v>
      </c>
      <c r="F41" s="2"/>
    </row>
    <row r="42" spans="1:14" x14ac:dyDescent="0.3">
      <c r="A42" s="15" t="s">
        <v>95</v>
      </c>
      <c r="B42" s="34">
        <v>81894.736400000009</v>
      </c>
      <c r="F42" s="2"/>
    </row>
    <row r="43" spans="1:14" x14ac:dyDescent="0.3">
      <c r="A43" s="15" t="s">
        <v>28</v>
      </c>
      <c r="B43" s="34">
        <v>90706.728999999992</v>
      </c>
      <c r="F43" s="2"/>
    </row>
    <row r="44" spans="1:14" x14ac:dyDescent="0.3">
      <c r="A44" s="15" t="s">
        <v>67</v>
      </c>
      <c r="B44" s="34">
        <v>101276.46159999995</v>
      </c>
      <c r="F44" s="2"/>
    </row>
    <row r="45" spans="1:14" x14ac:dyDescent="0.3">
      <c r="A45" s="15" t="s">
        <v>24</v>
      </c>
      <c r="B45" s="34">
        <v>118558.88140000009</v>
      </c>
      <c r="F45" s="2"/>
    </row>
    <row r="46" spans="1:14" x14ac:dyDescent="0.3">
      <c r="A46" s="15" t="s">
        <v>42</v>
      </c>
      <c r="B46" s="34">
        <v>135976.52539999998</v>
      </c>
      <c r="F46" s="2"/>
    </row>
    <row r="47" spans="1:14" x14ac:dyDescent="0.3">
      <c r="A47" s="15" t="s">
        <v>48</v>
      </c>
      <c r="B47" s="34">
        <v>175433.92240000021</v>
      </c>
      <c r="F47" s="2"/>
    </row>
    <row r="48" spans="1:14" ht="16.2" thickBot="1" x14ac:dyDescent="0.35">
      <c r="A48" s="16" t="s">
        <v>12</v>
      </c>
      <c r="B48" s="35">
        <v>178124.08099999995</v>
      </c>
      <c r="C48" s="18"/>
      <c r="D48" s="18"/>
      <c r="E48" s="18"/>
      <c r="F48" s="3"/>
    </row>
    <row r="50" spans="1:6" ht="16.2" thickBot="1" x14ac:dyDescent="0.35"/>
    <row r="51" spans="1:6" ht="16.2" thickBot="1" x14ac:dyDescent="0.35">
      <c r="A51" s="52" t="s">
        <v>1621</v>
      </c>
      <c r="B51" s="53"/>
      <c r="C51" s="53"/>
      <c r="D51" s="53"/>
      <c r="E51" s="29"/>
      <c r="F51" s="30"/>
    </row>
    <row r="52" spans="1:6" ht="16.2" thickBot="1" x14ac:dyDescent="0.35">
      <c r="A52" s="9"/>
      <c r="B52" s="19" t="s">
        <v>1610</v>
      </c>
      <c r="F52" s="2"/>
    </row>
    <row r="53" spans="1:6" x14ac:dyDescent="0.3">
      <c r="A53" s="14">
        <v>2011</v>
      </c>
      <c r="B53" s="33">
        <v>78131.566599999976</v>
      </c>
      <c r="F53" s="2"/>
    </row>
    <row r="54" spans="1:6" x14ac:dyDescent="0.3">
      <c r="A54" s="15">
        <v>2012</v>
      </c>
      <c r="B54" s="34">
        <v>130476.85979999998</v>
      </c>
      <c r="F54" s="2"/>
    </row>
    <row r="55" spans="1:6" x14ac:dyDescent="0.3">
      <c r="A55" s="15">
        <v>2014</v>
      </c>
      <c r="B55" s="34">
        <v>131809.01560000007</v>
      </c>
      <c r="F55" s="2"/>
    </row>
    <row r="56" spans="1:6" x14ac:dyDescent="0.3">
      <c r="A56" s="15">
        <v>2015</v>
      </c>
      <c r="B56" s="34">
        <v>130942.78019999999</v>
      </c>
      <c r="F56" s="2"/>
    </row>
    <row r="57" spans="1:6" x14ac:dyDescent="0.3">
      <c r="A57" s="15">
        <v>2016</v>
      </c>
      <c r="B57" s="34">
        <v>132113.36980000007</v>
      </c>
      <c r="F57" s="2"/>
    </row>
    <row r="58" spans="1:6" x14ac:dyDescent="0.3">
      <c r="A58" s="15">
        <v>2017</v>
      </c>
      <c r="B58" s="34">
        <v>133103.90699999989</v>
      </c>
      <c r="F58" s="2"/>
    </row>
    <row r="59" spans="1:6" x14ac:dyDescent="0.3">
      <c r="A59" s="15">
        <v>2018</v>
      </c>
      <c r="B59" s="34">
        <v>204522.25700000025</v>
      </c>
      <c r="F59" s="2"/>
    </row>
    <row r="60" spans="1:6" x14ac:dyDescent="0.3">
      <c r="A60" s="15">
        <v>2020</v>
      </c>
      <c r="B60" s="34">
        <v>129103.96039999987</v>
      </c>
      <c r="F60" s="2"/>
    </row>
    <row r="61" spans="1:6" ht="16.2" thickBot="1" x14ac:dyDescent="0.35">
      <c r="A61" s="16">
        <v>2022</v>
      </c>
      <c r="B61" s="35">
        <v>131477.77639999994</v>
      </c>
      <c r="C61" s="18"/>
      <c r="D61" s="18"/>
      <c r="E61" s="18"/>
      <c r="F61" s="3"/>
    </row>
    <row r="63" spans="1:6" ht="16.2" thickBot="1" x14ac:dyDescent="0.35"/>
    <row r="64" spans="1:6" ht="16.2" thickBot="1" x14ac:dyDescent="0.35">
      <c r="A64" s="52" t="s">
        <v>1623</v>
      </c>
      <c r="B64" s="53"/>
      <c r="C64" s="53"/>
      <c r="D64" s="53"/>
      <c r="E64" s="29"/>
      <c r="F64" s="30"/>
    </row>
    <row r="65" spans="1:6" ht="16.2" thickBot="1" x14ac:dyDescent="0.35">
      <c r="A65" s="9"/>
      <c r="B65" s="19" t="s">
        <v>1622</v>
      </c>
      <c r="F65" s="2"/>
    </row>
    <row r="66" spans="1:6" x14ac:dyDescent="0.3">
      <c r="A66" s="14" t="s">
        <v>30</v>
      </c>
      <c r="B66" s="33">
        <v>248991.58600000024</v>
      </c>
      <c r="F66" s="2"/>
    </row>
    <row r="67" spans="1:6" x14ac:dyDescent="0.3">
      <c r="A67" s="15" t="s">
        <v>15</v>
      </c>
      <c r="B67" s="34">
        <v>507895.7363999993</v>
      </c>
      <c r="F67" s="2"/>
    </row>
    <row r="68" spans="1:6" ht="16.2" thickBot="1" x14ac:dyDescent="0.35">
      <c r="A68" s="16" t="s">
        <v>26</v>
      </c>
      <c r="B68" s="35">
        <v>444794.17039999936</v>
      </c>
      <c r="F68" s="2"/>
    </row>
    <row r="69" spans="1:6" x14ac:dyDescent="0.3">
      <c r="A69" s="1"/>
      <c r="F69" s="2"/>
    </row>
    <row r="70" spans="1:6" x14ac:dyDescent="0.3">
      <c r="A70" s="1"/>
      <c r="F70" s="2"/>
    </row>
    <row r="71" spans="1:6" x14ac:dyDescent="0.3">
      <c r="A71" s="1"/>
      <c r="F71" s="2"/>
    </row>
    <row r="72" spans="1:6" x14ac:dyDescent="0.3">
      <c r="A72" s="1"/>
      <c r="F72" s="2"/>
    </row>
    <row r="73" spans="1:6" x14ac:dyDescent="0.3">
      <c r="A73" s="1"/>
      <c r="F73" s="2"/>
    </row>
    <row r="74" spans="1:6" ht="16.2" thickBot="1" x14ac:dyDescent="0.35">
      <c r="A74" s="17"/>
      <c r="B74" s="18"/>
      <c r="C74" s="18"/>
      <c r="D74" s="18"/>
      <c r="E74" s="18"/>
      <c r="F74" s="3"/>
    </row>
    <row r="99" ht="16.2" thickBot="1" x14ac:dyDescent="0.35"/>
    <row r="5969" ht="16.2" thickBot="1" x14ac:dyDescent="0.35"/>
    <row r="8555" ht="16.2" thickBot="1" x14ac:dyDescent="0.35"/>
    <row r="8595" ht="16.2" thickBot="1" x14ac:dyDescent="0.35"/>
  </sheetData>
  <mergeCells count="8">
    <mergeCell ref="A64:D64"/>
    <mergeCell ref="I2:L2"/>
    <mergeCell ref="I12:L12"/>
    <mergeCell ref="A51:D51"/>
    <mergeCell ref="A2:D2"/>
    <mergeCell ref="A10:D10"/>
    <mergeCell ref="A21:D21"/>
    <mergeCell ref="A31:D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D19E0-F3F0-4753-A6C4-116C4CDEA018}">
  <dimension ref="S44"/>
  <sheetViews>
    <sheetView showGridLines="0" tabSelected="1" topLeftCell="A7" zoomScale="80" zoomScaleNormal="80" workbookViewId="0">
      <selection activeCell="Y37" sqref="Y37"/>
    </sheetView>
  </sheetViews>
  <sheetFormatPr defaultRowHeight="15.6" x14ac:dyDescent="0.3"/>
  <sheetData>
    <row r="44" spans="19:19" x14ac:dyDescent="0.3">
      <c r="S44" s="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A25" sqref="A25"/>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 DESIGN</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pooja bhatt</cp:lastModifiedBy>
  <dcterms:created xsi:type="dcterms:W3CDTF">2024-06-23T13:11:17Z</dcterms:created>
  <dcterms:modified xsi:type="dcterms:W3CDTF">2025-11-25T06:09:39Z</dcterms:modified>
</cp:coreProperties>
</file>